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ae805f5ac91d98d/Documents/Excel_Macros/"/>
    </mc:Choice>
  </mc:AlternateContent>
  <xr:revisionPtr revIDLastSave="0" documentId="8_{0303A504-CC8E-4B14-A424-51D37E220A23}" xr6:coauthVersionLast="45" xr6:coauthVersionMax="45" xr10:uidLastSave="{00000000-0000-0000-0000-000000000000}"/>
  <bookViews>
    <workbookView xWindow="17340" yWindow="3830" windowWidth="20280" windowHeight="13800" xr2:uid="{00000000-000D-0000-FFFF-FFFF00000000}"/>
  </bookViews>
  <sheets>
    <sheet name="Sheet1" sheetId="1" r:id="rId1"/>
    <sheet name="Sheet3" sheetId="3" r:id="rId2"/>
    <sheet name="Sheet5" sheetId="6" r:id="rId3"/>
    <sheet name="Sheet2" sheetId="4" r:id="rId4"/>
    <sheet name="Sheet4" sheetId="7" r:id="rId5"/>
  </sheets>
  <definedNames>
    <definedName name="_xlnm._FilterDatabase" localSheetId="0" hidden="1">Sheet1!$A$2:$C$20</definedName>
    <definedName name="Imaginary">Sheet3!$D$24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" i="6" l="1" a="1"/>
  <c r="H2" i="6" s="1"/>
  <c r="I2" i="6" a="1"/>
  <c r="I2" i="6" s="1"/>
  <c r="G2" i="6" a="1"/>
  <c r="G2" i="6" s="1"/>
  <c r="G3" i="3" a="1"/>
  <c r="G3" i="3" s="1"/>
  <c r="G2" i="3" a="1"/>
  <c r="G2" i="3" s="1"/>
  <c r="I3" i="3" a="1"/>
  <c r="I3" i="3" s="1"/>
  <c r="G7" i="3" a="1"/>
  <c r="G7" i="3" s="1"/>
  <c r="H34" i="3"/>
  <c r="H33" i="3"/>
  <c r="H32" i="3"/>
  <c r="H31" i="3"/>
  <c r="H30" i="3"/>
  <c r="H29" i="3"/>
  <c r="H28" i="3"/>
  <c r="H27" i="3"/>
  <c r="H26" i="3"/>
  <c r="H25" i="3"/>
  <c r="H24" i="3"/>
  <c r="G34" i="3"/>
  <c r="G33" i="3"/>
  <c r="G32" i="3"/>
  <c r="G31" i="3"/>
  <c r="G30" i="3"/>
  <c r="G29" i="3"/>
  <c r="G28" i="3"/>
  <c r="G27" i="3"/>
  <c r="G26" i="3"/>
  <c r="G25" i="3"/>
  <c r="G24" i="3"/>
  <c r="D34" i="3"/>
  <c r="D33" i="3"/>
  <c r="D32" i="3"/>
  <c r="D31" i="3"/>
  <c r="D30" i="3"/>
  <c r="D29" i="3"/>
  <c r="D28" i="3"/>
  <c r="D27" i="3"/>
  <c r="D26" i="3"/>
  <c r="D25" i="3"/>
  <c r="D24" i="3"/>
  <c r="C25" i="3"/>
  <c r="C34" i="3"/>
  <c r="C33" i="3"/>
  <c r="C32" i="3"/>
  <c r="C31" i="3"/>
  <c r="C30" i="3"/>
  <c r="C29" i="3"/>
  <c r="C28" i="3"/>
  <c r="C27" i="3"/>
  <c r="C26" i="3"/>
  <c r="C24" i="3"/>
  <c r="C25" i="1" l="1"/>
  <c r="C34" i="1"/>
  <c r="C33" i="1"/>
  <c r="C32" i="1"/>
  <c r="C31" i="1"/>
  <c r="C30" i="1"/>
  <c r="C29" i="1"/>
  <c r="C28" i="1"/>
  <c r="C27" i="1"/>
  <c r="C26" i="1"/>
  <c r="C24" i="1"/>
  <c r="I25" i="3" l="1"/>
  <c r="I34" i="3"/>
  <c r="I33" i="3"/>
  <c r="I32" i="3"/>
  <c r="I31" i="3"/>
  <c r="I30" i="3"/>
  <c r="I29" i="3"/>
  <c r="I28" i="3"/>
  <c r="I27" i="3"/>
  <c r="I26" i="3"/>
  <c r="K25" i="1"/>
  <c r="I24" i="3"/>
  <c r="A34" i="3"/>
  <c r="A33" i="3"/>
  <c r="A32" i="3"/>
  <c r="A31" i="3"/>
  <c r="A30" i="3"/>
  <c r="A29" i="3"/>
  <c r="A28" i="3"/>
  <c r="A27" i="3"/>
  <c r="A26" i="3"/>
  <c r="A25" i="3"/>
  <c r="A24" i="3"/>
  <c r="M2" i="1" a="1"/>
  <c r="M2" i="1" s="1"/>
  <c r="K2" i="1" a="1"/>
  <c r="K2" i="1" s="1"/>
  <c r="M3" i="3" a="1"/>
  <c r="M3" i="3" s="1"/>
  <c r="M2" i="3" a="1"/>
  <c r="M2" i="3" s="1"/>
  <c r="Q2" i="3" a="1"/>
  <c r="Q2" i="3" s="1"/>
  <c r="I2" i="3" a="1"/>
  <c r="I2" i="3" s="1"/>
  <c r="T2" i="3" s="1" a="1"/>
  <c r="T2" i="3" s="1"/>
  <c r="P2" i="3" a="1"/>
  <c r="P2" i="3" s="1"/>
  <c r="H2" i="3" a="1"/>
  <c r="H2" i="3" s="1"/>
  <c r="K24" i="1"/>
  <c r="U30" i="1"/>
  <c r="U27" i="1"/>
  <c r="U24" i="1"/>
  <c r="Q24" i="1" a="1"/>
  <c r="Q24" i="1" s="1"/>
  <c r="O24" i="1" a="1"/>
  <c r="O24" i="1" s="1"/>
  <c r="N27" i="1"/>
  <c r="AI2" i="1" a="1"/>
  <c r="AI2" i="1" s="1"/>
  <c r="AE3" i="1" a="1"/>
  <c r="AE3" i="1" s="1"/>
  <c r="AE2" i="1"/>
  <c r="D34" i="1"/>
  <c r="D30" i="1"/>
  <c r="H30" i="1" s="1"/>
  <c r="D27" i="1"/>
  <c r="H27" i="1" s="1"/>
  <c r="D26" i="1"/>
  <c r="H26" i="1" s="1"/>
  <c r="G31" i="1"/>
  <c r="G30" i="1"/>
  <c r="I30" i="1" s="1"/>
  <c r="A34" i="1"/>
  <c r="A33" i="1"/>
  <c r="G33" i="1" s="1"/>
  <c r="A32" i="1"/>
  <c r="A31" i="1"/>
  <c r="D31" i="1" s="1"/>
  <c r="A30" i="1"/>
  <c r="A29" i="1"/>
  <c r="D29" i="1" s="1"/>
  <c r="A28" i="1"/>
  <c r="D28" i="1" s="1"/>
  <c r="A27" i="1"/>
  <c r="A26" i="1"/>
  <c r="A25" i="1"/>
  <c r="D25" i="1" s="1"/>
  <c r="A24" i="1"/>
  <c r="G24" i="1" s="1"/>
  <c r="G34" i="1" l="1"/>
  <c r="G32" i="1"/>
  <c r="G27" i="1"/>
  <c r="I27" i="1" s="1"/>
  <c r="G26" i="1"/>
  <c r="I26" i="1" s="1"/>
  <c r="H28" i="1"/>
  <c r="H25" i="1"/>
  <c r="I34" i="1"/>
  <c r="H29" i="1"/>
  <c r="H31" i="1"/>
  <c r="I31" i="1" s="1"/>
  <c r="K31" i="1"/>
  <c r="K34" i="1"/>
  <c r="G25" i="1"/>
  <c r="I25" i="1" s="1"/>
  <c r="K27" i="1"/>
  <c r="K26" i="1"/>
  <c r="G28" i="1"/>
  <c r="I28" i="1" s="1"/>
  <c r="D24" i="1"/>
  <c r="D32" i="1"/>
  <c r="H34" i="1"/>
  <c r="G29" i="1"/>
  <c r="I29" i="1" s="1"/>
  <c r="D33" i="1"/>
  <c r="K30" i="1"/>
  <c r="K33" i="1" l="1"/>
  <c r="H33" i="1"/>
  <c r="I33" i="1" s="1"/>
  <c r="K32" i="1"/>
  <c r="H32" i="1"/>
  <c r="I32" i="1" s="1"/>
  <c r="H24" i="1"/>
  <c r="I24" i="1" s="1"/>
  <c r="D38" i="1" s="1" a="1"/>
  <c r="K28" i="1"/>
  <c r="K29" i="1"/>
  <c r="I2" i="1" a="1"/>
  <c r="I2" i="1" s="1"/>
  <c r="T2" i="1" s="1" a="1"/>
  <c r="T2" i="1" s="1"/>
  <c r="H2" i="1" a="1"/>
  <c r="H2" i="1" s="1"/>
  <c r="Q2" i="1" s="1" a="1"/>
  <c r="Q2" i="1" s="1"/>
  <c r="G2" i="1" a="1"/>
  <c r="G2" i="1" s="1"/>
  <c r="P2" i="1" s="1" a="1"/>
  <c r="P2" i="1" s="1"/>
  <c r="A38" i="1" l="1" a="1"/>
  <c r="A38" i="1" s="1"/>
  <c r="E38" i="1" s="1" a="1"/>
  <c r="E38" i="1" s="1"/>
  <c r="D38" i="1"/>
  <c r="G38" i="1" l="1"/>
  <c r="G41" i="1"/>
  <c r="G48" i="1"/>
  <c r="G39" i="1"/>
  <c r="G47" i="1"/>
  <c r="G40" i="1"/>
  <c r="G44" i="1"/>
  <c r="G42" i="1"/>
  <c r="G45" i="1"/>
  <c r="G43" i="1"/>
  <c r="G46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<sst xmlns="http://schemas.openxmlformats.org/spreadsheetml/2006/main" count="84" uniqueCount="73">
  <si>
    <t>Voltages(V)</t>
  </si>
  <si>
    <t>Amperes(A)</t>
  </si>
  <si>
    <t>Ohm' Law</t>
  </si>
  <si>
    <t>Finding Voltages</t>
  </si>
  <si>
    <t>Find Current</t>
  </si>
  <si>
    <t>Finding Resistance</t>
  </si>
  <si>
    <t>Finding Watts</t>
  </si>
  <si>
    <t>Convert to Milli</t>
  </si>
  <si>
    <t>Voltage(mV)</t>
  </si>
  <si>
    <t>Ampere(mA)</t>
  </si>
  <si>
    <t>Convert to Kilo</t>
  </si>
  <si>
    <t>Ohms(kΩ)</t>
  </si>
  <si>
    <t>Time(s)</t>
  </si>
  <si>
    <t>Finding Joules</t>
  </si>
  <si>
    <t>Complex Number</t>
  </si>
  <si>
    <t>Magnitude</t>
  </si>
  <si>
    <t>Real</t>
  </si>
  <si>
    <t>Imaginary</t>
  </si>
  <si>
    <t>Pythagorem</t>
  </si>
  <si>
    <t>a^2</t>
  </si>
  <si>
    <t>b^2</t>
  </si>
  <si>
    <t>Inductance</t>
  </si>
  <si>
    <t>Capacitance(uF)</t>
  </si>
  <si>
    <t>Capacitance(F)</t>
  </si>
  <si>
    <t>Inductance(mH)</t>
  </si>
  <si>
    <t>Impedanace</t>
  </si>
  <si>
    <t>Calculate for Capactiance</t>
  </si>
  <si>
    <t>Equation is 1/2*pi*f*C</t>
  </si>
  <si>
    <t>by parts</t>
  </si>
  <si>
    <t>Frequency(Hz)</t>
  </si>
  <si>
    <t>Pi</t>
  </si>
  <si>
    <t>Impedance of C</t>
  </si>
  <si>
    <t>Impedance of Induct</t>
  </si>
  <si>
    <t>For parallel Circuits</t>
  </si>
  <si>
    <t>1/R1 + 1/R2 + ….</t>
  </si>
  <si>
    <t>Parrellel Inductance</t>
  </si>
  <si>
    <t>1(1/L1+1/L2+1/Ln..)</t>
  </si>
  <si>
    <t>Parellel Resistance</t>
  </si>
  <si>
    <t>Parallel Capacitance</t>
  </si>
  <si>
    <t>C1 + C2+ C3+Cn….</t>
  </si>
  <si>
    <t>Graphs</t>
  </si>
  <si>
    <t>Polar(Radians)</t>
  </si>
  <si>
    <t>Polar(Degrees)</t>
  </si>
  <si>
    <t>Polar Form</t>
  </si>
  <si>
    <t>∠</t>
  </si>
  <si>
    <t xml:space="preserve">Rounding </t>
  </si>
  <si>
    <t xml:space="preserve">Magnitude </t>
  </si>
  <si>
    <t>Polar(Degree)</t>
  </si>
  <si>
    <t>Resistance(Ohms)</t>
  </si>
  <si>
    <t>All</t>
  </si>
  <si>
    <t>Sumtype</t>
  </si>
  <si>
    <t>k</t>
  </si>
  <si>
    <t>Sum</t>
  </si>
  <si>
    <t>Complex</t>
  </si>
  <si>
    <t>A^2</t>
  </si>
  <si>
    <t>B</t>
  </si>
  <si>
    <t>Voltage</t>
  </si>
  <si>
    <t>Ampere</t>
  </si>
  <si>
    <t>Input</t>
  </si>
  <si>
    <t>Output</t>
  </si>
  <si>
    <t>Tk</t>
  </si>
  <si>
    <t>M =</t>
  </si>
  <si>
    <t>Quadratic Formula</t>
  </si>
  <si>
    <t>5x^2 + 10x - 45</t>
  </si>
  <si>
    <t>a</t>
  </si>
  <si>
    <t>b</t>
  </si>
  <si>
    <t>c</t>
  </si>
  <si>
    <t>Root1</t>
  </si>
  <si>
    <t>Root2</t>
  </si>
  <si>
    <t>Math Marco #4</t>
  </si>
  <si>
    <t>Using Matrixs</t>
  </si>
  <si>
    <t xml:space="preserve">Example 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</si>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</sst>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8CC63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 wrapText="1"/>
    </xf>
    <xf numFmtId="0" fontId="0" fillId="0" borderId="0" xfId="0" applyAlignment="1">
      <alignment horizontal="right" wrapText="1"/>
    </xf>
    <xf numFmtId="11" fontId="0" fillId="0" borderId="0" xfId="0" applyNumberFormat="1"/>
    <xf numFmtId="0" fontId="0" fillId="0" borderId="0" xfId="0" applyAlignment="1">
      <alignment horizontal="right"/>
    </xf>
    <xf numFmtId="0" fontId="0" fillId="2" borderId="0" xfId="0" applyFill="1"/>
    <xf numFmtId="0" fontId="0" fillId="0" borderId="0" xfId="0" applyFill="1"/>
    <xf numFmtId="0" fontId="0" fillId="0" borderId="0" xfId="0" applyFont="1" applyFill="1"/>
  </cellXfs>
  <cellStyles count="1">
    <cellStyle name="Normal" xfId="0" builtinId="0"/>
  </cellStyles>
  <dxfs count="15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912730089066735"/>
          <c:y val="0.17883052609046621"/>
          <c:w val="0.77088545243319984"/>
          <c:h val="0.65947512166438427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Sheet1!$C$1</c:f>
              <c:strCache>
                <c:ptCount val="1"/>
                <c:pt idx="0">
                  <c:v>Resistance(Ohms)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Sheet1!$B$2:$B$20</c:f>
              <c:numCache>
                <c:formatCode>General</c:formatCode>
                <c:ptCount val="19"/>
                <c:pt idx="0">
                  <c:v>1.21</c:v>
                </c:pt>
                <c:pt idx="1">
                  <c:v>2.1</c:v>
                </c:pt>
                <c:pt idx="2">
                  <c:v>3.15</c:v>
                </c:pt>
                <c:pt idx="3">
                  <c:v>8.4499999999999993</c:v>
                </c:pt>
                <c:pt idx="4">
                  <c:v>9.06</c:v>
                </c:pt>
                <c:pt idx="5">
                  <c:v>15.84</c:v>
                </c:pt>
                <c:pt idx="6">
                  <c:v>20.46</c:v>
                </c:pt>
                <c:pt idx="7">
                  <c:v>23.14</c:v>
                </c:pt>
                <c:pt idx="8">
                  <c:v>25.21</c:v>
                </c:pt>
                <c:pt idx="9">
                  <c:v>32.664999999999999</c:v>
                </c:pt>
                <c:pt idx="10">
                  <c:v>44.021000000000001</c:v>
                </c:pt>
                <c:pt idx="11">
                  <c:v>45</c:v>
                </c:pt>
                <c:pt idx="12">
                  <c:v>45.21</c:v>
                </c:pt>
                <c:pt idx="13">
                  <c:v>64</c:v>
                </c:pt>
                <c:pt idx="14">
                  <c:v>66</c:v>
                </c:pt>
                <c:pt idx="15">
                  <c:v>95</c:v>
                </c:pt>
                <c:pt idx="16">
                  <c:v>100</c:v>
                </c:pt>
                <c:pt idx="17">
                  <c:v>200</c:v>
                </c:pt>
                <c:pt idx="18">
                  <c:v>1487.3</c:v>
                </c:pt>
              </c:numCache>
            </c:numRef>
          </c:xVal>
          <c:yVal>
            <c:numRef>
              <c:f>Sheet1!$C$2:$C$20</c:f>
              <c:numCache>
                <c:formatCode>General</c:formatCode>
                <c:ptCount val="19"/>
                <c:pt idx="0">
                  <c:v>40</c:v>
                </c:pt>
                <c:pt idx="1">
                  <c:v>80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215</c:v>
                </c:pt>
                <c:pt idx="6">
                  <c:v>216</c:v>
                </c:pt>
                <c:pt idx="7">
                  <c:v>315</c:v>
                </c:pt>
                <c:pt idx="8">
                  <c:v>316</c:v>
                </c:pt>
                <c:pt idx="9">
                  <c:v>510</c:v>
                </c:pt>
                <c:pt idx="10">
                  <c:v>600</c:v>
                </c:pt>
                <c:pt idx="11">
                  <c:v>840</c:v>
                </c:pt>
                <c:pt idx="12">
                  <c:v>1000</c:v>
                </c:pt>
                <c:pt idx="13">
                  <c:v>1050</c:v>
                </c:pt>
                <c:pt idx="14">
                  <c:v>1100</c:v>
                </c:pt>
                <c:pt idx="15">
                  <c:v>2100</c:v>
                </c:pt>
                <c:pt idx="16">
                  <c:v>3100</c:v>
                </c:pt>
                <c:pt idx="17">
                  <c:v>3214</c:v>
                </c:pt>
                <c:pt idx="18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36-4D46-BAAD-B806E9830B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879759"/>
        <c:axId val="483489615"/>
      </c:scatterChart>
      <c:valAx>
        <c:axId val="8318797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Voltage(V)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89615"/>
        <c:crosses val="autoZero"/>
        <c:crossBetween val="midCat"/>
      </c:valAx>
      <c:valAx>
        <c:axId val="483489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Resistance(Ohms)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8797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104774</xdr:colOff>
      <xdr:row>51</xdr:row>
      <xdr:rowOff>28574</xdr:rowOff>
    </xdr:from>
    <xdr:to>
      <xdr:col>5</xdr:col>
      <xdr:colOff>387349</xdr:colOff>
      <xdr:row>68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368300</xdr:colOff>
          <xdr:row>1</xdr:row>
          <xdr:rowOff>133350</xdr:rowOff>
        </xdr:from>
        <xdr:to>
          <xdr:col>6</xdr:col>
          <xdr:colOff>63500</xdr:colOff>
          <xdr:row>4</xdr:row>
          <xdr:rowOff>63500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Voltage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412750</xdr:colOff>
          <xdr:row>5</xdr:row>
          <xdr:rowOff>101600</xdr:rowOff>
        </xdr:from>
        <xdr:to>
          <xdr:col>6</xdr:col>
          <xdr:colOff>88900</xdr:colOff>
          <xdr:row>8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330200</xdr:colOff>
          <xdr:row>21</xdr:row>
          <xdr:rowOff>95250</xdr:rowOff>
        </xdr:from>
        <xdr:to>
          <xdr:col>1</xdr:col>
          <xdr:colOff>317500</xdr:colOff>
          <xdr:row>24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Voltage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685800</xdr:colOff>
          <xdr:row>21</xdr:row>
          <xdr:rowOff>88900</xdr:rowOff>
        </xdr:from>
        <xdr:to>
          <xdr:col>2</xdr:col>
          <xdr:colOff>292100</xdr:colOff>
          <xdr:row>24</xdr:row>
          <xdr:rowOff>101600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Resistance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355600</xdr:colOff>
          <xdr:row>25</xdr:row>
          <xdr:rowOff>76200</xdr:rowOff>
        </xdr:from>
        <xdr:to>
          <xdr:col>1</xdr:col>
          <xdr:colOff>317500</xdr:colOff>
          <xdr:row>28</xdr:row>
          <xdr:rowOff>12700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Current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120650</xdr:colOff>
      <xdr:row>2</xdr:row>
      <xdr:rowOff>50800</xdr:rowOff>
    </xdr:from>
    <xdr:to>
      <xdr:col>6</xdr:col>
      <xdr:colOff>485505</xdr:colOff>
      <xdr:row>7</xdr:row>
      <xdr:rowOff>72907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59050" y="431800"/>
          <a:ext cx="2161905" cy="9428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9</xdr:row>
          <xdr:rowOff>6350</xdr:rowOff>
        </xdr:from>
        <xdr:to>
          <xdr:col>4</xdr:col>
          <xdr:colOff>368300</xdr:colOff>
          <xdr:row>12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</xdr:colOff>
          <xdr:row>13</xdr:row>
          <xdr:rowOff>19050</xdr:rowOff>
        </xdr:from>
        <xdr:to>
          <xdr:col>4</xdr:col>
          <xdr:colOff>374650</xdr:colOff>
          <xdr:row>15</xdr:row>
          <xdr:rowOff>107950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596900</xdr:colOff>
          <xdr:row>2</xdr:row>
          <xdr:rowOff>0</xdr:rowOff>
        </xdr:from>
        <xdr:to>
          <xdr:col>11</xdr:col>
          <xdr:colOff>393700</xdr:colOff>
          <xdr:row>5</xdr:row>
          <xdr:rowOff>19050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6</xdr:row>
          <xdr:rowOff>38100</xdr:rowOff>
        </xdr:from>
        <xdr:to>
          <xdr:col>11</xdr:col>
          <xdr:colOff>355600</xdr:colOff>
          <xdr:row>8</xdr:row>
          <xdr:rowOff>63500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8</v>
    <v>18</v>
    <v>1</v>
  </rv>
  <rv s="1">
    <v>8</v>
    <v>1</v>
  </rv>
</rvData>
</file>

<file path=xl/richData/rdrichvaluestructure.xml><?xml version="1.0" encoding="utf-8"?>
<rvStructures xmlns="http://schemas.microsoft.com/office/spreadsheetml/2017/richdata" count="2">
  <s t="_error">
    <k n="colOffset" t="i"/>
    <k n="errorType" t="i"/>
    <k n="rwOffset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52"/>
  <sheetViews>
    <sheetView tabSelected="1" zoomScaleNormal="100" workbookViewId="0">
      <selection activeCell="B1" sqref="B1:B20"/>
    </sheetView>
  </sheetViews>
  <sheetFormatPr defaultRowHeight="14.5" x14ac:dyDescent="0.35"/>
  <cols>
    <col min="1" max="1" width="14.90625" customWidth="1"/>
    <col min="2" max="2" width="10.81640625" customWidth="1"/>
    <col min="3" max="3" width="16.36328125" customWidth="1"/>
    <col min="4" max="4" width="10.90625" customWidth="1"/>
    <col min="5" max="5" width="12.26953125" bestFit="1" customWidth="1"/>
    <col min="6" max="6" width="12.36328125" customWidth="1"/>
    <col min="7" max="7" width="16.1796875" customWidth="1"/>
    <col min="8" max="8" width="17.1796875" customWidth="1"/>
    <col min="9" max="9" width="16.90625" customWidth="1"/>
    <col min="11" max="11" width="12.6328125" customWidth="1"/>
    <col min="13" max="13" width="14.7265625" customWidth="1"/>
    <col min="14" max="14" width="23.26953125" customWidth="1"/>
    <col min="15" max="15" width="15.453125" customWidth="1"/>
    <col min="16" max="16" width="12.90625" customWidth="1"/>
    <col min="17" max="17" width="18.1796875" customWidth="1"/>
    <col min="18" max="18" width="12.1796875" customWidth="1"/>
    <col min="19" max="19" width="16.81640625" bestFit="1" customWidth="1"/>
    <col min="20" max="20" width="16.90625" customWidth="1"/>
    <col min="24" max="24" width="14.81640625" customWidth="1"/>
    <col min="25" max="26" width="13.81640625" customWidth="1"/>
    <col min="29" max="29" width="13.6328125" customWidth="1"/>
    <col min="31" max="31" width="14.6328125" customWidth="1"/>
    <col min="33" max="33" width="10.26953125" customWidth="1"/>
    <col min="34" max="34" width="8.1796875" customWidth="1"/>
    <col min="35" max="35" width="14.36328125" customWidth="1"/>
  </cols>
  <sheetData>
    <row r="1" spans="1:35" ht="14.5" customHeight="1" x14ac:dyDescent="0.35">
      <c r="A1" t="s">
        <v>1</v>
      </c>
      <c r="B1" s="1" t="s">
        <v>0</v>
      </c>
      <c r="C1" s="1" t="s">
        <v>48</v>
      </c>
      <c r="D1" t="s">
        <v>12</v>
      </c>
      <c r="F1" t="s">
        <v>2</v>
      </c>
      <c r="G1" t="s">
        <v>3</v>
      </c>
      <c r="H1" t="s">
        <v>4</v>
      </c>
      <c r="I1" t="s">
        <v>5</v>
      </c>
      <c r="K1" t="s">
        <v>6</v>
      </c>
      <c r="M1" t="s">
        <v>13</v>
      </c>
      <c r="O1" t="s">
        <v>7</v>
      </c>
      <c r="P1" t="s">
        <v>8</v>
      </c>
      <c r="Q1" t="s">
        <v>9</v>
      </c>
      <c r="S1" t="s">
        <v>10</v>
      </c>
      <c r="T1" t="s">
        <v>11</v>
      </c>
      <c r="AC1" t="s">
        <v>23</v>
      </c>
      <c r="AE1" t="s">
        <v>22</v>
      </c>
      <c r="AG1" t="s">
        <v>21</v>
      </c>
      <c r="AI1" t="s">
        <v>24</v>
      </c>
    </row>
    <row r="2" spans="1:35" ht="14.5" customHeight="1" x14ac:dyDescent="0.35">
      <c r="A2">
        <v>5.0000000000000001E-4</v>
      </c>
      <c r="B2">
        <v>1.21</v>
      </c>
      <c r="C2">
        <v>40</v>
      </c>
      <c r="D2">
        <v>0.5</v>
      </c>
      <c r="G2" cm="1">
        <f t="array" ref="G2:G20">B2:B20*C2:C20</f>
        <v>48.4</v>
      </c>
      <c r="H2" cm="1">
        <f t="array" ref="H2:H20">A2:A20/B2:B20</f>
        <v>4.1322314049586781E-4</v>
      </c>
      <c r="I2" cm="1">
        <f t="array" ref="I2:I20">A2:A20/C2:C20</f>
        <v>1.2500000000000001E-5</v>
      </c>
      <c r="K2" cm="1">
        <f t="array" ref="K2:K20">B2:B20*A2:A20</f>
        <v>6.0499999999999996E-4</v>
      </c>
      <c r="M2" cm="1">
        <f t="array" ref="M2:M20">_xlfn.ANCHORARRAY(K2)*D2:D20</f>
        <v>3.0249999999999998E-4</v>
      </c>
      <c r="P2" cm="1">
        <f t="array" ref="P2:P20">_xlfn.ANCHORARRAY(G2)*1000</f>
        <v>48400</v>
      </c>
      <c r="Q2" cm="1">
        <f t="array" ref="Q2:Q20">_xlfn.ANCHORARRAY(H2)*1000</f>
        <v>0.41322314049586784</v>
      </c>
      <c r="T2" cm="1">
        <f t="array" ref="T2:T20">_xlfn.ANCHORARRAY(I2)/1000</f>
        <v>1.2500000000000001E-8</v>
      </c>
      <c r="AC2">
        <v>19.690000000000001</v>
      </c>
      <c r="AD2" s="3">
        <v>9.9999999999999995E-7</v>
      </c>
      <c r="AE2" s="3">
        <f>AC2*AD2</f>
        <v>1.969E-5</v>
      </c>
      <c r="AG2">
        <v>106.12</v>
      </c>
      <c r="AH2" s="3">
        <v>1E-3</v>
      </c>
      <c r="AI2" s="3" cm="1">
        <f t="array" ref="AI2:AI15">AG2:AG15*AH2</f>
        <v>0.10612000000000001</v>
      </c>
    </row>
    <row r="3" spans="1:35" ht="14.5" customHeight="1" x14ac:dyDescent="0.35">
      <c r="A3">
        <v>9.6500000000000004E-4</v>
      </c>
      <c r="B3">
        <v>2.1</v>
      </c>
      <c r="C3">
        <v>80</v>
      </c>
      <c r="D3">
        <v>5</v>
      </c>
      <c r="G3">
        <v>168</v>
      </c>
      <c r="H3">
        <v>4.5952380952380952E-4</v>
      </c>
      <c r="I3">
        <v>1.20625E-5</v>
      </c>
      <c r="K3">
        <v>2.0265000000000001E-3</v>
      </c>
      <c r="M3">
        <v>1.0132500000000001E-2</v>
      </c>
      <c r="P3">
        <v>168000</v>
      </c>
      <c r="Q3">
        <v>0.4595238095238095</v>
      </c>
      <c r="T3">
        <v>1.20625E-8</v>
      </c>
      <c r="AC3">
        <v>12.25</v>
      </c>
      <c r="AE3" s="3" cm="1">
        <f t="array" ref="AE3:AE15">AC3:AC15*AD2</f>
        <v>1.225E-5</v>
      </c>
      <c r="AG3">
        <v>95.12</v>
      </c>
      <c r="AI3">
        <v>9.512000000000001E-2</v>
      </c>
    </row>
    <row r="4" spans="1:35" ht="14.5" customHeight="1" x14ac:dyDescent="0.35">
      <c r="A4">
        <v>9.8499999999999998E-4</v>
      </c>
      <c r="B4">
        <v>3.15</v>
      </c>
      <c r="C4">
        <v>100</v>
      </c>
      <c r="D4">
        <v>10</v>
      </c>
      <c r="G4">
        <v>315</v>
      </c>
      <c r="H4">
        <v>3.126984126984127E-4</v>
      </c>
      <c r="I4">
        <v>9.8500000000000006E-6</v>
      </c>
      <c r="K4">
        <v>3.10275E-3</v>
      </c>
      <c r="M4">
        <v>3.10275E-2</v>
      </c>
      <c r="P4">
        <v>315000</v>
      </c>
      <c r="Q4">
        <v>0.3126984126984127</v>
      </c>
      <c r="T4">
        <v>9.8500000000000005E-9</v>
      </c>
      <c r="AC4">
        <v>12.36</v>
      </c>
      <c r="AE4">
        <v>1.2359999999999999E-5</v>
      </c>
      <c r="AG4">
        <v>15</v>
      </c>
      <c r="AI4">
        <v>1.4999999999999999E-2</v>
      </c>
    </row>
    <row r="5" spans="1:35" ht="14.5" customHeight="1" x14ac:dyDescent="0.35">
      <c r="A5">
        <v>4.4999999999999997E-3</v>
      </c>
      <c r="B5">
        <v>8.4499999999999993</v>
      </c>
      <c r="C5">
        <v>150</v>
      </c>
      <c r="D5">
        <v>3</v>
      </c>
      <c r="G5">
        <v>1267.5</v>
      </c>
      <c r="H5">
        <v>5.3254437869822483E-4</v>
      </c>
      <c r="I5">
        <v>2.9999999999999997E-5</v>
      </c>
      <c r="K5">
        <v>3.8024999999999996E-2</v>
      </c>
      <c r="M5">
        <v>0.11407499999999998</v>
      </c>
      <c r="P5">
        <v>1267500</v>
      </c>
      <c r="Q5">
        <v>0.5325443786982248</v>
      </c>
      <c r="T5">
        <v>2.9999999999999997E-8</v>
      </c>
      <c r="AC5">
        <v>28.65</v>
      </c>
      <c r="AE5">
        <v>2.8649999999999998E-5</v>
      </c>
      <c r="AG5">
        <v>466.12</v>
      </c>
      <c r="AI5">
        <v>0.46612000000000003</v>
      </c>
    </row>
    <row r="6" spans="1:35" ht="14.5" customHeight="1" x14ac:dyDescent="0.35">
      <c r="A6">
        <v>0.01</v>
      </c>
      <c r="B6">
        <v>9.06</v>
      </c>
      <c r="C6">
        <v>200</v>
      </c>
      <c r="D6">
        <v>1</v>
      </c>
      <c r="G6">
        <v>1812</v>
      </c>
      <c r="H6">
        <v>1.1037527593818985E-3</v>
      </c>
      <c r="I6">
        <v>5.0000000000000002E-5</v>
      </c>
      <c r="K6">
        <v>9.06E-2</v>
      </c>
      <c r="M6">
        <v>9.06E-2</v>
      </c>
      <c r="P6">
        <v>1812000</v>
      </c>
      <c r="Q6">
        <v>1.1037527593818985</v>
      </c>
      <c r="T6">
        <v>5.0000000000000004E-8</v>
      </c>
      <c r="AC6">
        <v>1.25</v>
      </c>
      <c r="AE6">
        <v>1.2499999999999999E-6</v>
      </c>
      <c r="AG6">
        <v>12.24</v>
      </c>
      <c r="AI6">
        <v>1.2240000000000001E-2</v>
      </c>
    </row>
    <row r="7" spans="1:35" ht="14.5" customHeight="1" x14ac:dyDescent="0.35">
      <c r="A7">
        <v>2.0500000000000001E-2</v>
      </c>
      <c r="B7">
        <v>15.84</v>
      </c>
      <c r="C7">
        <v>215</v>
      </c>
      <c r="D7">
        <v>1.2</v>
      </c>
      <c r="G7">
        <v>3405.6</v>
      </c>
      <c r="H7">
        <v>1.2941919191919193E-3</v>
      </c>
      <c r="I7">
        <v>9.5348837209302328E-5</v>
      </c>
      <c r="K7">
        <v>0.32472000000000001</v>
      </c>
      <c r="M7">
        <v>0.38966400000000001</v>
      </c>
      <c r="P7">
        <v>3405600</v>
      </c>
      <c r="Q7">
        <v>1.2941919191919193</v>
      </c>
      <c r="T7">
        <v>9.5348837209302324E-8</v>
      </c>
      <c r="AC7">
        <v>5.55</v>
      </c>
      <c r="AE7">
        <v>5.5499999999999994E-6</v>
      </c>
      <c r="AG7">
        <v>35.46</v>
      </c>
      <c r="AI7">
        <v>3.5459999999999998E-2</v>
      </c>
    </row>
    <row r="8" spans="1:35" ht="14.5" customHeight="1" x14ac:dyDescent="0.35">
      <c r="A8">
        <v>3.4500000000000003E-2</v>
      </c>
      <c r="B8">
        <v>20.46</v>
      </c>
      <c r="C8">
        <v>216</v>
      </c>
      <c r="D8">
        <v>0.2</v>
      </c>
      <c r="G8">
        <v>4419.3600000000006</v>
      </c>
      <c r="H8">
        <v>1.6862170087976541E-3</v>
      </c>
      <c r="I8">
        <v>1.5972222222222223E-4</v>
      </c>
      <c r="K8">
        <v>0.70587000000000011</v>
      </c>
      <c r="M8">
        <v>0.14117400000000002</v>
      </c>
      <c r="P8">
        <v>4419360.0000000009</v>
      </c>
      <c r="Q8">
        <v>1.686217008797654</v>
      </c>
      <c r="T8">
        <v>1.5972222222222223E-7</v>
      </c>
      <c r="AC8">
        <v>8.65</v>
      </c>
      <c r="AE8">
        <v>8.6500000000000002E-6</v>
      </c>
      <c r="AG8">
        <v>500.31</v>
      </c>
      <c r="AI8">
        <v>0.50031000000000003</v>
      </c>
    </row>
    <row r="9" spans="1:35" ht="14.5" customHeight="1" x14ac:dyDescent="0.35">
      <c r="A9">
        <v>3.6499999999999998E-2</v>
      </c>
      <c r="B9">
        <v>23.14</v>
      </c>
      <c r="C9">
        <v>315</v>
      </c>
      <c r="D9">
        <v>45</v>
      </c>
      <c r="G9">
        <v>7289.1</v>
      </c>
      <c r="H9">
        <v>1.5773552290406221E-3</v>
      </c>
      <c r="I9">
        <v>1.1587301587301587E-4</v>
      </c>
      <c r="K9">
        <v>0.84460999999999997</v>
      </c>
      <c r="M9">
        <v>38.007449999999999</v>
      </c>
      <c r="P9">
        <v>7289100</v>
      </c>
      <c r="Q9">
        <v>1.5773552290406221</v>
      </c>
      <c r="T9">
        <v>1.1587301587301586E-7</v>
      </c>
      <c r="AC9">
        <v>16.123999999999999</v>
      </c>
      <c r="AE9">
        <v>1.6123999999999997E-5</v>
      </c>
      <c r="AG9">
        <v>411.15</v>
      </c>
      <c r="AI9">
        <v>0.41114999999999996</v>
      </c>
    </row>
    <row r="10" spans="1:35" ht="14.5" customHeight="1" x14ac:dyDescent="0.35">
      <c r="A10">
        <v>4.895E-2</v>
      </c>
      <c r="B10">
        <v>25.21</v>
      </c>
      <c r="C10">
        <v>316</v>
      </c>
      <c r="D10">
        <v>32</v>
      </c>
      <c r="G10">
        <v>7966.3600000000006</v>
      </c>
      <c r="H10">
        <v>1.9416898056326855E-3</v>
      </c>
      <c r="I10">
        <v>1.5490506329113925E-4</v>
      </c>
      <c r="K10">
        <v>1.2340295000000001</v>
      </c>
      <c r="M10">
        <v>39.488944000000004</v>
      </c>
      <c r="P10">
        <v>7966360.0000000009</v>
      </c>
      <c r="Q10">
        <v>1.9416898056326855</v>
      </c>
      <c r="T10">
        <v>1.5490506329113924E-7</v>
      </c>
      <c r="AC10">
        <v>1.0015000000000001</v>
      </c>
      <c r="AE10">
        <v>1.0015000000000001E-6</v>
      </c>
      <c r="AG10">
        <v>366.12</v>
      </c>
      <c r="AI10">
        <v>0.36612</v>
      </c>
    </row>
    <row r="11" spans="1:35" ht="14.5" customHeight="1" x14ac:dyDescent="0.35">
      <c r="A11">
        <v>0.05</v>
      </c>
      <c r="B11">
        <v>32.664999999999999</v>
      </c>
      <c r="C11">
        <v>510</v>
      </c>
      <c r="D11">
        <v>15</v>
      </c>
      <c r="G11">
        <v>16659.149999999998</v>
      </c>
      <c r="H11">
        <v>1.5306903413439463E-3</v>
      </c>
      <c r="I11">
        <v>9.8039215686274519E-5</v>
      </c>
      <c r="K11">
        <v>1.6332500000000001</v>
      </c>
      <c r="M11">
        <v>24.498750000000001</v>
      </c>
      <c r="P11">
        <v>16659149.999999998</v>
      </c>
      <c r="Q11">
        <v>1.5306903413439463</v>
      </c>
      <c r="T11">
        <v>9.8039215686274519E-8</v>
      </c>
      <c r="AC11">
        <v>6.87</v>
      </c>
      <c r="AE11">
        <v>6.8699999999999994E-6</v>
      </c>
      <c r="AG11">
        <v>451.56</v>
      </c>
      <c r="AI11">
        <v>0.45156000000000002</v>
      </c>
    </row>
    <row r="12" spans="1:35" ht="14.5" customHeight="1" x14ac:dyDescent="0.35">
      <c r="A12">
        <v>7.85E-2</v>
      </c>
      <c r="B12">
        <v>44.021000000000001</v>
      </c>
      <c r="C12">
        <v>600</v>
      </c>
      <c r="D12">
        <v>5</v>
      </c>
      <c r="G12">
        <v>26412.600000000002</v>
      </c>
      <c r="H12">
        <v>1.7832398173598964E-3</v>
      </c>
      <c r="I12">
        <v>1.3083333333333333E-4</v>
      </c>
      <c r="K12">
        <v>3.4556485000000001</v>
      </c>
      <c r="M12">
        <v>17.278242500000001</v>
      </c>
      <c r="P12">
        <v>26412600.000000004</v>
      </c>
      <c r="Q12">
        <v>1.7832398173598965</v>
      </c>
      <c r="T12">
        <v>1.3083333333333333E-7</v>
      </c>
      <c r="AC12">
        <v>30.457999999999998</v>
      </c>
      <c r="AE12">
        <v>3.0457999999999995E-5</v>
      </c>
      <c r="AG12">
        <v>200.12</v>
      </c>
      <c r="AI12">
        <v>0.20012000000000002</v>
      </c>
    </row>
    <row r="13" spans="1:35" ht="14.5" customHeight="1" x14ac:dyDescent="0.35">
      <c r="A13">
        <v>8.9499999999999996E-2</v>
      </c>
      <c r="B13">
        <v>45</v>
      </c>
      <c r="C13">
        <v>840</v>
      </c>
      <c r="D13">
        <v>20</v>
      </c>
      <c r="G13">
        <v>37800</v>
      </c>
      <c r="H13">
        <v>1.988888888888889E-3</v>
      </c>
      <c r="I13">
        <v>1.0654761904761904E-4</v>
      </c>
      <c r="K13">
        <v>4.0274999999999999</v>
      </c>
      <c r="M13">
        <v>80.55</v>
      </c>
      <c r="P13">
        <v>37800000</v>
      </c>
      <c r="Q13">
        <v>1.9888888888888889</v>
      </c>
      <c r="T13">
        <v>1.0654761904761904E-7</v>
      </c>
      <c r="AC13">
        <v>9.5399999999999991</v>
      </c>
      <c r="AE13">
        <v>9.5399999999999984E-6</v>
      </c>
      <c r="AG13">
        <v>411.2</v>
      </c>
      <c r="AI13">
        <v>0.41120000000000001</v>
      </c>
    </row>
    <row r="14" spans="1:35" ht="14.5" customHeight="1" x14ac:dyDescent="0.35">
      <c r="A14">
        <v>0.1105</v>
      </c>
      <c r="B14">
        <v>45.21</v>
      </c>
      <c r="C14">
        <v>1000</v>
      </c>
      <c r="D14">
        <v>0.32</v>
      </c>
      <c r="G14">
        <v>45210</v>
      </c>
      <c r="H14">
        <v>2.4441495244414951E-3</v>
      </c>
      <c r="I14">
        <v>1.105E-4</v>
      </c>
      <c r="K14">
        <v>4.9957050000000001</v>
      </c>
      <c r="M14">
        <v>1.5986256000000001</v>
      </c>
      <c r="P14">
        <v>45210000</v>
      </c>
      <c r="Q14">
        <v>2.444149524441495</v>
      </c>
      <c r="T14">
        <v>1.105E-7</v>
      </c>
      <c r="AC14">
        <v>34.56</v>
      </c>
      <c r="AE14">
        <v>3.4560000000000001E-5</v>
      </c>
      <c r="AG14">
        <v>35.65</v>
      </c>
      <c r="AI14">
        <v>3.5650000000000001E-2</v>
      </c>
    </row>
    <row r="15" spans="1:35" ht="14.5" customHeight="1" x14ac:dyDescent="0.35">
      <c r="A15">
        <v>0.48499999999999999</v>
      </c>
      <c r="B15">
        <v>64</v>
      </c>
      <c r="C15">
        <v>1050</v>
      </c>
      <c r="D15">
        <v>0.69</v>
      </c>
      <c r="G15">
        <v>67200</v>
      </c>
      <c r="H15">
        <v>7.5781249999999998E-3</v>
      </c>
      <c r="I15">
        <v>4.619047619047619E-4</v>
      </c>
      <c r="K15">
        <v>31.04</v>
      </c>
      <c r="M15">
        <v>21.417599999999997</v>
      </c>
      <c r="P15">
        <v>67200000</v>
      </c>
      <c r="Q15">
        <v>7.578125</v>
      </c>
      <c r="T15">
        <v>4.6190476190476188E-7</v>
      </c>
      <c r="AC15">
        <v>40.79</v>
      </c>
      <c r="AE15">
        <v>4.0789999999999994E-5</v>
      </c>
      <c r="AG15">
        <v>98.31</v>
      </c>
      <c r="AI15">
        <v>9.8310000000000008E-2</v>
      </c>
    </row>
    <row r="16" spans="1:35" ht="14.5" customHeight="1" x14ac:dyDescent="0.35">
      <c r="A16">
        <v>0.55000000000000004</v>
      </c>
      <c r="B16">
        <v>66</v>
      </c>
      <c r="C16">
        <v>1100</v>
      </c>
      <c r="D16">
        <v>3.3</v>
      </c>
      <c r="G16">
        <v>72600</v>
      </c>
      <c r="H16">
        <v>8.3333333333333332E-3</v>
      </c>
      <c r="I16">
        <v>5.0000000000000001E-4</v>
      </c>
      <c r="K16">
        <v>36.300000000000004</v>
      </c>
      <c r="M16">
        <v>119.79</v>
      </c>
      <c r="P16">
        <v>72600000</v>
      </c>
      <c r="Q16">
        <v>8.3333333333333339</v>
      </c>
      <c r="T16">
        <v>4.9999999999999998E-7</v>
      </c>
    </row>
    <row r="17" spans="1:21" ht="14.5" customHeight="1" x14ac:dyDescent="0.35">
      <c r="A17">
        <v>0.65</v>
      </c>
      <c r="B17">
        <v>95</v>
      </c>
      <c r="C17">
        <v>2100</v>
      </c>
      <c r="D17">
        <v>20</v>
      </c>
      <c r="G17">
        <v>199500</v>
      </c>
      <c r="H17">
        <v>6.842105263157895E-3</v>
      </c>
      <c r="I17">
        <v>3.0952380952380956E-4</v>
      </c>
      <c r="K17">
        <v>61.75</v>
      </c>
      <c r="M17">
        <v>1235</v>
      </c>
      <c r="P17">
        <v>199500000</v>
      </c>
      <c r="Q17">
        <v>6.8421052631578947</v>
      </c>
      <c r="T17">
        <v>3.0952380952380955E-7</v>
      </c>
    </row>
    <row r="18" spans="1:21" ht="14.5" customHeight="1" x14ac:dyDescent="0.35">
      <c r="A18">
        <v>5</v>
      </c>
      <c r="B18">
        <v>100</v>
      </c>
      <c r="C18">
        <v>3100</v>
      </c>
      <c r="D18">
        <v>15</v>
      </c>
      <c r="G18">
        <v>310000</v>
      </c>
      <c r="H18">
        <v>0.05</v>
      </c>
      <c r="I18">
        <v>1.6129032258064516E-3</v>
      </c>
      <c r="K18">
        <v>500</v>
      </c>
      <c r="M18">
        <v>7500</v>
      </c>
      <c r="P18">
        <v>310000000</v>
      </c>
      <c r="Q18">
        <v>50</v>
      </c>
      <c r="T18">
        <v>1.6129032258064516E-6</v>
      </c>
    </row>
    <row r="19" spans="1:21" ht="14.5" customHeight="1" x14ac:dyDescent="0.35">
      <c r="A19">
        <v>10</v>
      </c>
      <c r="B19">
        <v>200</v>
      </c>
      <c r="C19">
        <v>3214</v>
      </c>
      <c r="D19">
        <v>5</v>
      </c>
      <c r="G19">
        <v>642800</v>
      </c>
      <c r="H19">
        <v>0.05</v>
      </c>
      <c r="I19">
        <v>3.1113876789047915E-3</v>
      </c>
      <c r="K19">
        <v>2000</v>
      </c>
      <c r="M19">
        <v>10000</v>
      </c>
      <c r="P19">
        <v>642800000</v>
      </c>
      <c r="Q19">
        <v>50</v>
      </c>
      <c r="T19">
        <v>3.1113876789047917E-6</v>
      </c>
    </row>
    <row r="20" spans="1:21" ht="14.5" customHeight="1" x14ac:dyDescent="0.35">
      <c r="A20">
        <v>15</v>
      </c>
      <c r="B20">
        <v>1487.3</v>
      </c>
      <c r="C20">
        <v>3500</v>
      </c>
      <c r="D20">
        <v>0.9</v>
      </c>
      <c r="G20">
        <v>5205550</v>
      </c>
      <c r="H20">
        <v>1.0085389632219459E-2</v>
      </c>
      <c r="I20">
        <v>4.2857142857142859E-3</v>
      </c>
      <c r="K20">
        <v>22309.5</v>
      </c>
      <c r="M20">
        <v>20078.55</v>
      </c>
      <c r="P20">
        <v>5205550000</v>
      </c>
      <c r="Q20">
        <v>10.08538963221946</v>
      </c>
      <c r="T20">
        <v>4.2857142857142863E-6</v>
      </c>
    </row>
    <row r="23" spans="1:21" x14ac:dyDescent="0.35">
      <c r="A23" t="s">
        <v>14</v>
      </c>
      <c r="C23" t="s">
        <v>16</v>
      </c>
      <c r="D23" t="s">
        <v>17</v>
      </c>
      <c r="F23" t="s">
        <v>18</v>
      </c>
      <c r="G23" t="s">
        <v>19</v>
      </c>
      <c r="H23" t="s">
        <v>20</v>
      </c>
      <c r="I23" t="s">
        <v>15</v>
      </c>
      <c r="K23" t="s">
        <v>41</v>
      </c>
      <c r="M23" t="s">
        <v>25</v>
      </c>
      <c r="N23" t="s">
        <v>26</v>
      </c>
      <c r="O23" t="s">
        <v>31</v>
      </c>
      <c r="Q23" t="s">
        <v>32</v>
      </c>
      <c r="S23" t="s">
        <v>33</v>
      </c>
      <c r="T23" t="s">
        <v>37</v>
      </c>
    </row>
    <row r="24" spans="1:21" x14ac:dyDescent="0.35">
      <c r="A24" t="str">
        <f>COMPLEX(5,5)</f>
        <v>5+5i</v>
      </c>
      <c r="C24">
        <f t="shared" ref="C24:C34" si="0">IMREAL(A24)</f>
        <v>5</v>
      </c>
      <c r="D24">
        <f t="shared" ref="D24:D34" si="1">IMAGINARY(A24)</f>
        <v>5</v>
      </c>
      <c r="G24">
        <f t="shared" ref="G24:G34" si="2">C24^2</f>
        <v>25</v>
      </c>
      <c r="H24">
        <f t="shared" ref="H24:H34" si="3">D24^2</f>
        <v>25</v>
      </c>
      <c r="I24">
        <f t="shared" ref="I24:I34" si="4">SQRT(G24+H24)</f>
        <v>7.0710678118654755</v>
      </c>
      <c r="K24">
        <f>ATAN(1)</f>
        <v>0.78539816339744828</v>
      </c>
      <c r="M24" t="s">
        <v>29</v>
      </c>
      <c r="N24" t="s">
        <v>27</v>
      </c>
      <c r="O24" s="3" cm="1">
        <f t="array" ref="O24:O37">1/(2*N27*M25*AE2:AE15)</f>
        <v>161.66068368907602</v>
      </c>
      <c r="Q24" s="3" cm="1">
        <f t="array" ref="Q24:Q37">2*N27*M25*_xlfn.ANCHORARRAY(AI2)</f>
        <v>33.338581239894886</v>
      </c>
      <c r="T24" t="s">
        <v>34</v>
      </c>
      <c r="U24">
        <f>1/C2+1/C3+1/C4+1/C5+1/C6</f>
        <v>5.9166666666666673E-2</v>
      </c>
    </row>
    <row r="25" spans="1:21" x14ac:dyDescent="0.35">
      <c r="A25" t="str">
        <f>COMPLEX(4,-5)</f>
        <v>4-5i</v>
      </c>
      <c r="B25" s="1"/>
      <c r="C25" s="2">
        <f t="shared" si="0"/>
        <v>4</v>
      </c>
      <c r="D25">
        <f t="shared" si="1"/>
        <v>-5</v>
      </c>
      <c r="G25">
        <f t="shared" si="2"/>
        <v>16</v>
      </c>
      <c r="H25">
        <f t="shared" si="3"/>
        <v>25</v>
      </c>
      <c r="I25">
        <f t="shared" si="4"/>
        <v>6.4031242374328485</v>
      </c>
      <c r="K25">
        <f t="shared" ref="K25:K34" si="5">ATAN(D25/C25)</f>
        <v>-0.89605538457134393</v>
      </c>
      <c r="M25">
        <v>50</v>
      </c>
      <c r="N25" t="s">
        <v>28</v>
      </c>
      <c r="O25">
        <v>259.84480504799239</v>
      </c>
      <c r="Q25">
        <v>29.882829320946115</v>
      </c>
    </row>
    <row r="26" spans="1:21" x14ac:dyDescent="0.35">
      <c r="A26" t="str">
        <f>COMPLEX(15,-6)</f>
        <v>15-6i</v>
      </c>
      <c r="C26">
        <f t="shared" si="0"/>
        <v>15</v>
      </c>
      <c r="D26">
        <f t="shared" si="1"/>
        <v>-6</v>
      </c>
      <c r="G26">
        <f t="shared" si="2"/>
        <v>225</v>
      </c>
      <c r="H26">
        <f t="shared" si="3"/>
        <v>36</v>
      </c>
      <c r="I26">
        <f t="shared" si="4"/>
        <v>16.15549442140351</v>
      </c>
      <c r="K26">
        <f t="shared" si="5"/>
        <v>-0.3805063771123649</v>
      </c>
      <c r="N26" s="4" t="s">
        <v>30</v>
      </c>
      <c r="O26">
        <v>257.53227037523521</v>
      </c>
      <c r="Q26">
        <v>4.7123889803846897</v>
      </c>
      <c r="T26" t="s">
        <v>35</v>
      </c>
    </row>
    <row r="27" spans="1:21" x14ac:dyDescent="0.35">
      <c r="A27" t="str">
        <f>COMPLEX(-8,-9)</f>
        <v>-8-9i</v>
      </c>
      <c r="C27">
        <f t="shared" si="0"/>
        <v>-8</v>
      </c>
      <c r="D27">
        <f t="shared" si="1"/>
        <v>-9</v>
      </c>
      <c r="G27">
        <f t="shared" si="2"/>
        <v>64</v>
      </c>
      <c r="H27">
        <f t="shared" si="3"/>
        <v>81</v>
      </c>
      <c r="I27">
        <f t="shared" si="4"/>
        <v>12.041594578792296</v>
      </c>
      <c r="K27">
        <f t="shared" si="5"/>
        <v>0.84415398611317105</v>
      </c>
      <c r="N27">
        <f>PI()</f>
        <v>3.1415926535897931</v>
      </c>
      <c r="O27">
        <v>111.10292711476114</v>
      </c>
      <c r="Q27">
        <v>146.43591676912746</v>
      </c>
      <c r="T27" t="s">
        <v>36</v>
      </c>
      <c r="U27" s="3">
        <f>1/(1/AI2+1/AI3+1/AI4+1/AI5+1/AI6)</f>
        <v>5.8669018026254781E-3</v>
      </c>
    </row>
    <row r="28" spans="1:21" x14ac:dyDescent="0.35">
      <c r="A28" t="str">
        <f>COMPLEX(-6,7)</f>
        <v>-6+7i</v>
      </c>
      <c r="C28">
        <f t="shared" si="0"/>
        <v>-6</v>
      </c>
      <c r="D28">
        <f t="shared" si="1"/>
        <v>7</v>
      </c>
      <c r="G28">
        <f t="shared" si="2"/>
        <v>36</v>
      </c>
      <c r="H28">
        <f t="shared" si="3"/>
        <v>49</v>
      </c>
      <c r="I28">
        <f t="shared" si="4"/>
        <v>9.2195444572928871</v>
      </c>
      <c r="K28">
        <f t="shared" si="5"/>
        <v>-0.8621700546672264</v>
      </c>
      <c r="O28">
        <v>2546.4790894703256</v>
      </c>
      <c r="Q28">
        <v>3.8453094079939074</v>
      </c>
    </row>
    <row r="29" spans="1:21" x14ac:dyDescent="0.35">
      <c r="A29" t="str">
        <f>COMPLEX(3,-9)</f>
        <v>3-9i</v>
      </c>
      <c r="C29">
        <f t="shared" si="0"/>
        <v>3</v>
      </c>
      <c r="D29">
        <f t="shared" si="1"/>
        <v>-9</v>
      </c>
      <c r="G29">
        <f t="shared" si="2"/>
        <v>9</v>
      </c>
      <c r="H29">
        <f t="shared" si="3"/>
        <v>81</v>
      </c>
      <c r="I29">
        <f t="shared" si="4"/>
        <v>9.4868329805051381</v>
      </c>
      <c r="K29">
        <f t="shared" si="5"/>
        <v>-1.2490457723982544</v>
      </c>
      <c r="O29">
        <v>573.53132645728056</v>
      </c>
      <c r="Q29">
        <v>11.140087549629406</v>
      </c>
      <c r="T29" t="s">
        <v>38</v>
      </c>
    </row>
    <row r="30" spans="1:21" x14ac:dyDescent="0.35">
      <c r="A30" t="str">
        <f>COMPLEX(12.2,-4.5)</f>
        <v>12.2-4.5i</v>
      </c>
      <c r="C30">
        <f t="shared" si="0"/>
        <v>12.2</v>
      </c>
      <c r="D30">
        <f t="shared" si="1"/>
        <v>-4.5</v>
      </c>
      <c r="G30">
        <f t="shared" si="2"/>
        <v>148.83999999999997</v>
      </c>
      <c r="H30">
        <f t="shared" si="3"/>
        <v>20.25</v>
      </c>
      <c r="I30">
        <f t="shared" si="4"/>
        <v>13.003461077728497</v>
      </c>
      <c r="K30">
        <f t="shared" si="5"/>
        <v>-0.35337018271939763</v>
      </c>
      <c r="O30">
        <v>367.98830772692565</v>
      </c>
      <c r="Q30">
        <v>157.17702205175095</v>
      </c>
      <c r="T30" t="s">
        <v>39</v>
      </c>
      <c r="U30" s="3">
        <f>AE2+AE3+AE4+AE5+AE6</f>
        <v>7.4199999999999988E-5</v>
      </c>
    </row>
    <row r="31" spans="1:21" x14ac:dyDescent="0.35">
      <c r="A31" t="str">
        <f>COMPLEX(-45,35)</f>
        <v>-45+35i</v>
      </c>
      <c r="C31">
        <f t="shared" si="0"/>
        <v>-45</v>
      </c>
      <c r="D31">
        <f t="shared" si="1"/>
        <v>35</v>
      </c>
      <c r="G31">
        <f t="shared" si="2"/>
        <v>2025</v>
      </c>
      <c r="H31">
        <f t="shared" si="3"/>
        <v>1225</v>
      </c>
      <c r="I31">
        <f t="shared" si="4"/>
        <v>57.008771254956898</v>
      </c>
      <c r="K31">
        <f t="shared" si="5"/>
        <v>-0.66104316885068692</v>
      </c>
      <c r="O31">
        <v>197.41372251537507</v>
      </c>
      <c r="Q31">
        <v>129.16658195234433</v>
      </c>
    </row>
    <row r="32" spans="1:21" x14ac:dyDescent="0.35">
      <c r="A32" t="str">
        <f>COMPLEX(6,-15)</f>
        <v>6-15i</v>
      </c>
      <c r="C32">
        <f t="shared" si="0"/>
        <v>6</v>
      </c>
      <c r="D32">
        <f t="shared" si="1"/>
        <v>-15</v>
      </c>
      <c r="G32">
        <f t="shared" si="2"/>
        <v>36</v>
      </c>
      <c r="H32">
        <f t="shared" si="3"/>
        <v>225</v>
      </c>
      <c r="I32">
        <f t="shared" si="4"/>
        <v>16.15549442140351</v>
      </c>
      <c r="K32">
        <f t="shared" si="5"/>
        <v>-1.1902899496825317</v>
      </c>
      <c r="O32">
        <v>3178.3313647907207</v>
      </c>
      <c r="Q32">
        <v>115.01999023322951</v>
      </c>
    </row>
    <row r="33" spans="1:17" x14ac:dyDescent="0.35">
      <c r="A33" t="str">
        <f>COMPLEX(3,-3)</f>
        <v>3-3i</v>
      </c>
      <c r="C33">
        <f t="shared" si="0"/>
        <v>3</v>
      </c>
      <c r="D33">
        <f t="shared" si="1"/>
        <v>-3</v>
      </c>
      <c r="G33">
        <f t="shared" si="2"/>
        <v>9</v>
      </c>
      <c r="H33">
        <f t="shared" si="3"/>
        <v>9</v>
      </c>
      <c r="I33">
        <f t="shared" si="4"/>
        <v>4.2426406871192848</v>
      </c>
      <c r="K33">
        <f t="shared" si="5"/>
        <v>-0.78539816339744828</v>
      </c>
      <c r="O33">
        <v>463.33316766199522</v>
      </c>
      <c r="Q33">
        <v>141.86175786550072</v>
      </c>
    </row>
    <row r="34" spans="1:17" x14ac:dyDescent="0.35">
      <c r="A34" t="str">
        <f>COMPLEX(2.3,-1.2)</f>
        <v>2.3-1.2i</v>
      </c>
      <c r="C34">
        <f t="shared" si="0"/>
        <v>2.2999999999999998</v>
      </c>
      <c r="D34">
        <f t="shared" si="1"/>
        <v>-1.2</v>
      </c>
      <c r="G34">
        <f t="shared" si="2"/>
        <v>5.2899999999999991</v>
      </c>
      <c r="H34">
        <f t="shared" si="3"/>
        <v>1.44</v>
      </c>
      <c r="I34">
        <f t="shared" si="4"/>
        <v>2.5942243542145693</v>
      </c>
      <c r="K34">
        <f t="shared" si="5"/>
        <v>-0.48088728019533578</v>
      </c>
      <c r="O34">
        <v>104.50780950285335</v>
      </c>
      <c r="Q34">
        <v>62.869552183638952</v>
      </c>
    </row>
    <row r="35" spans="1:17" x14ac:dyDescent="0.35">
      <c r="O35">
        <v>333.65816161822926</v>
      </c>
      <c r="Q35">
        <v>129.1822899156123</v>
      </c>
    </row>
    <row r="36" spans="1:17" x14ac:dyDescent="0.35">
      <c r="O36">
        <v>92.103555030032027</v>
      </c>
      <c r="Q36">
        <v>11.199777810047614</v>
      </c>
    </row>
    <row r="37" spans="1:17" x14ac:dyDescent="0.35">
      <c r="A37" t="s">
        <v>42</v>
      </c>
      <c r="C37" t="s">
        <v>45</v>
      </c>
      <c r="D37" t="s">
        <v>46</v>
      </c>
      <c r="E37" t="s">
        <v>47</v>
      </c>
      <c r="G37" t="s">
        <v>43</v>
      </c>
      <c r="O37">
        <v>78.036255499826112</v>
      </c>
      <c r="Q37">
        <v>30.884997377441259</v>
      </c>
    </row>
    <row r="38" spans="1:17" x14ac:dyDescent="0.35">
      <c r="A38" cm="1">
        <f t="array" ref="A38:A48">DEGREES(K24:K34)</f>
        <v>45</v>
      </c>
      <c r="B38" t="s">
        <v>44</v>
      </c>
      <c r="D38" cm="1">
        <f t="array" ref="D38:D48">ROUND(I24:I34,3)</f>
        <v>7.0709999999999997</v>
      </c>
      <c r="E38" cm="1">
        <f t="array" ref="E38:E48">ROUND(_xlfn.ANCHORARRAY(A38),3)</f>
        <v>45</v>
      </c>
      <c r="G38" t="str">
        <f>_xlfn.CONCAT(D38,B38,A38)</f>
        <v>7.071∠45</v>
      </c>
      <c r="H38" s="1"/>
      <c r="I38" s="1"/>
    </row>
    <row r="39" spans="1:17" x14ac:dyDescent="0.35">
      <c r="A39" s="1">
        <v>-51.340191745909912</v>
      </c>
      <c r="B39" s="1"/>
      <c r="C39" s="2"/>
      <c r="D39">
        <v>6.4029999999999996</v>
      </c>
      <c r="E39">
        <v>-51.34</v>
      </c>
      <c r="G39" t="str">
        <f>_xlfn.CONCAT(D39,B38,E39)</f>
        <v>6.403∠-51.34</v>
      </c>
    </row>
    <row r="40" spans="1:17" x14ac:dyDescent="0.35">
      <c r="A40">
        <v>-21.801409486351812</v>
      </c>
      <c r="D40">
        <v>16.155000000000001</v>
      </c>
      <c r="E40">
        <v>-21.800999999999998</v>
      </c>
      <c r="G40" t="str">
        <f>_xlfn.CONCAT(D40,B38,E40)</f>
        <v>16.155∠-21.801</v>
      </c>
    </row>
    <row r="41" spans="1:17" x14ac:dyDescent="0.35">
      <c r="A41">
        <v>48.366460663429805</v>
      </c>
      <c r="D41">
        <v>12.042</v>
      </c>
      <c r="E41">
        <v>48.366</v>
      </c>
      <c r="G41" t="str">
        <f>_xlfn.CONCAT(D41,B38,E42)</f>
        <v>12.042∠-49.399</v>
      </c>
    </row>
    <row r="42" spans="1:17" x14ac:dyDescent="0.35">
      <c r="A42">
        <v>-49.398705354995535</v>
      </c>
      <c r="D42">
        <v>9.2200000000000006</v>
      </c>
      <c r="E42">
        <v>-49.399000000000001</v>
      </c>
      <c r="G42" t="str">
        <f>_xlfn.CONCAT(D42,B38,E42)</f>
        <v>9.22∠-49.399</v>
      </c>
    </row>
    <row r="43" spans="1:17" x14ac:dyDescent="0.35">
      <c r="A43">
        <v>-71.56505117707799</v>
      </c>
      <c r="D43">
        <v>9.4870000000000001</v>
      </c>
      <c r="E43">
        <v>-71.564999999999998</v>
      </c>
      <c r="G43" t="str">
        <f>_xlfn.CONCAT(D43,B38,E43)</f>
        <v>9.487∠-71.565</v>
      </c>
    </row>
    <row r="44" spans="1:17" x14ac:dyDescent="0.35">
      <c r="A44">
        <v>-20.246620075588218</v>
      </c>
      <c r="D44">
        <v>13.003</v>
      </c>
      <c r="E44">
        <v>-20.247</v>
      </c>
      <c r="G44" t="str">
        <f>_xlfn.CONCAT(D44,B38,E44)</f>
        <v>13.003∠-20.247</v>
      </c>
    </row>
    <row r="45" spans="1:17" x14ac:dyDescent="0.35">
      <c r="A45">
        <v>-37.874983651098205</v>
      </c>
      <c r="D45">
        <v>57.009</v>
      </c>
      <c r="E45">
        <v>-37.875</v>
      </c>
      <c r="G45" t="str">
        <f>_xlfn.CONCAT(D45,B38,E45)</f>
        <v>57.009∠-37.875</v>
      </c>
    </row>
    <row r="46" spans="1:17" x14ac:dyDescent="0.35">
      <c r="A46">
        <v>-68.198590513648185</v>
      </c>
      <c r="D46">
        <v>16.155000000000001</v>
      </c>
      <c r="E46">
        <v>-68.198999999999998</v>
      </c>
      <c r="G46" t="str">
        <f>_xlfn.CONCAT(D46,B38,E46)</f>
        <v>16.155∠-68.199</v>
      </c>
      <c r="N46" s="1"/>
      <c r="O46" s="1"/>
    </row>
    <row r="47" spans="1:17" x14ac:dyDescent="0.35">
      <c r="A47">
        <v>-45</v>
      </c>
      <c r="D47">
        <v>4.2430000000000003</v>
      </c>
      <c r="E47">
        <v>-45</v>
      </c>
      <c r="G47" t="str">
        <f>_xlfn.CONCAT(D47,B38,E47)</f>
        <v>4.243∠-45</v>
      </c>
    </row>
    <row r="48" spans="1:17" x14ac:dyDescent="0.35">
      <c r="A48">
        <v>-27.552811576717797</v>
      </c>
      <c r="D48">
        <v>2.5939999999999999</v>
      </c>
      <c r="E48">
        <v>-27.553000000000001</v>
      </c>
      <c r="G48" t="str">
        <f>_xlfn.CONCAT(D48,B38,E48)</f>
        <v>2.594∠-27.553</v>
      </c>
    </row>
    <row r="51" spans="1:2" x14ac:dyDescent="0.35">
      <c r="A51" t="s">
        <v>40</v>
      </c>
    </row>
    <row r="52" spans="1:2" x14ac:dyDescent="0.35">
      <c r="A52" s="1"/>
      <c r="B52" s="1"/>
    </row>
  </sheetData>
  <sortState xmlns:xlrd2="http://schemas.microsoft.com/office/spreadsheetml/2017/richdata2" ref="B2:B20">
    <sortCondition ref="B2:B20"/>
  </sortState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F807-6BA0-4A0E-ABDD-5F1A683ADA4D}">
  <sheetPr codeName="Sheet3"/>
  <dimension ref="A1:T34"/>
  <sheetViews>
    <sheetView workbookViewId="0">
      <selection activeCell="C37" sqref="C37"/>
    </sheetView>
  </sheetViews>
  <sheetFormatPr defaultRowHeight="14.5" x14ac:dyDescent="0.35"/>
  <cols>
    <col min="1" max="1" width="13.1796875" customWidth="1"/>
    <col min="2" max="2" width="14.54296875" customWidth="1"/>
    <col min="3" max="3" width="18.1796875" customWidth="1"/>
    <col min="7" max="7" width="14" customWidth="1"/>
    <col min="8" max="8" width="15.08984375" customWidth="1"/>
    <col min="9" max="9" width="16.54296875" customWidth="1"/>
  </cols>
  <sheetData>
    <row r="1" spans="1:20" x14ac:dyDescent="0.35">
      <c r="A1" t="s">
        <v>1</v>
      </c>
      <c r="B1" s="1" t="s">
        <v>0</v>
      </c>
      <c r="C1" s="1" t="s">
        <v>48</v>
      </c>
      <c r="D1" t="s">
        <v>12</v>
      </c>
    </row>
    <row r="2" spans="1:20" x14ac:dyDescent="0.35">
      <c r="A2">
        <v>5.0000000000000001E-4</v>
      </c>
      <c r="B2">
        <v>1.21</v>
      </c>
      <c r="C2">
        <v>40</v>
      </c>
      <c r="D2">
        <v>0.5</v>
      </c>
      <c r="G2" t="e" cm="1" vm="1">
        <f t="array" aca="1" ref="G2" ca="1">B2:B20*C2:C20</f>
        <v>#VALUE!</v>
      </c>
      <c r="H2" cm="1">
        <f t="array" ref="H2:H20">A2:A20/B2:B20</f>
        <v>4.1322314049586781E-4</v>
      </c>
      <c r="I2" t="e" cm="1" vm="1">
        <f t="array" aca="1" ref="I2" ca="1">A2:A20/C2:C20</f>
        <v>#VALUE!</v>
      </c>
      <c r="M2" t="e" cm="1" vm="1">
        <f t="array" aca="1" ref="M2" ca="1">A2:A20*C2:C20</f>
        <v>#VALUE!</v>
      </c>
      <c r="P2" t="e" cm="1" vm="2">
        <f t="array" aca="1" ref="P2" ca="1">_xlfn.ANCHORARRAY(G2)*1000</f>
        <v>#VALUE!</v>
      </c>
      <c r="Q2" cm="1">
        <f t="array" ref="Q2:Q20">_xlfn.ANCHORARRAY(H2)*1000</f>
        <v>0.41322314049586784</v>
      </c>
      <c r="T2" t="e" cm="1" vm="2">
        <f t="array" aca="1" ref="T2" ca="1">_xlfn.ANCHORARRAY(I2)/1000</f>
        <v>#VALUE!</v>
      </c>
    </row>
    <row r="3" spans="1:20" x14ac:dyDescent="0.35">
      <c r="A3">
        <v>9.6500000000000004E-4</v>
      </c>
      <c r="B3">
        <v>2.1</v>
      </c>
      <c r="C3">
        <v>80</v>
      </c>
      <c r="D3">
        <v>5</v>
      </c>
      <c r="G3" t="e" cm="1" vm="1">
        <f t="array" aca="1" ref="G3" ca="1">XFC3:XFC21/A3:A21</f>
        <v>#VALUE!</v>
      </c>
      <c r="H3">
        <v>4.5952380952380952E-4</v>
      </c>
      <c r="I3" cm="1">
        <f t="array" ref="I3:I21">A3:A21/C3:C21</f>
        <v>1.20625E-5</v>
      </c>
      <c r="M3" t="e" cm="1">
        <f t="array" ref="M3:M21">_xlfn.ANCHORARRAY(XFD3)*J3:J21</f>
        <v>#REF!</v>
      </c>
      <c r="Q3">
        <v>0.4595238095238095</v>
      </c>
    </row>
    <row r="4" spans="1:20" x14ac:dyDescent="0.35">
      <c r="A4">
        <v>9.8499999999999998E-4</v>
      </c>
      <c r="B4">
        <v>3.15</v>
      </c>
      <c r="C4">
        <v>100</v>
      </c>
      <c r="D4">
        <v>10</v>
      </c>
      <c r="H4">
        <v>3.126984126984127E-4</v>
      </c>
      <c r="I4">
        <v>9.8500000000000006E-6</v>
      </c>
      <c r="M4" t="e">
        <v>#REF!</v>
      </c>
      <c r="Q4">
        <v>0.3126984126984127</v>
      </c>
    </row>
    <row r="5" spans="1:20" x14ac:dyDescent="0.35">
      <c r="A5">
        <v>4.4999999999999997E-3</v>
      </c>
      <c r="B5">
        <v>8.4499999999999993</v>
      </c>
      <c r="C5">
        <v>150</v>
      </c>
      <c r="D5">
        <v>3</v>
      </c>
      <c r="H5">
        <v>5.3254437869822483E-4</v>
      </c>
      <c r="I5">
        <v>2.9999999999999997E-5</v>
      </c>
      <c r="M5" t="e">
        <v>#REF!</v>
      </c>
      <c r="Q5">
        <v>0.5325443786982248</v>
      </c>
    </row>
    <row r="6" spans="1:20" x14ac:dyDescent="0.35">
      <c r="A6">
        <v>0.01</v>
      </c>
      <c r="B6">
        <v>9.06</v>
      </c>
      <c r="C6">
        <v>200</v>
      </c>
      <c r="D6">
        <v>1</v>
      </c>
      <c r="H6">
        <v>1.1037527593818985E-3</v>
      </c>
      <c r="I6">
        <v>5.0000000000000002E-5</v>
      </c>
      <c r="M6" t="e">
        <v>#REF!</v>
      </c>
      <c r="Q6">
        <v>1.1037527593818985</v>
      </c>
    </row>
    <row r="7" spans="1:20" x14ac:dyDescent="0.35">
      <c r="A7">
        <v>2.0500000000000001E-2</v>
      </c>
      <c r="B7">
        <v>15.84</v>
      </c>
      <c r="C7">
        <v>215</v>
      </c>
      <c r="D7">
        <v>1.2</v>
      </c>
      <c r="G7" t="e" cm="1" vm="1">
        <f t="array" aca="1" ref="G7" ca="1">XFC7:XFC25/A7:A25</f>
        <v>#VALUE!</v>
      </c>
      <c r="H7">
        <v>1.2941919191919193E-3</v>
      </c>
      <c r="I7">
        <v>9.5348837209302328E-5</v>
      </c>
      <c r="M7" t="e">
        <v>#REF!</v>
      </c>
      <c r="Q7">
        <v>1.2941919191919193</v>
      </c>
    </row>
    <row r="8" spans="1:20" x14ac:dyDescent="0.35">
      <c r="A8">
        <v>3.4500000000000003E-2</v>
      </c>
      <c r="B8">
        <v>20.46</v>
      </c>
      <c r="C8">
        <v>216</v>
      </c>
      <c r="D8">
        <v>0.2</v>
      </c>
      <c r="H8">
        <v>1.6862170087976541E-3</v>
      </c>
      <c r="I8">
        <v>1.5972222222222223E-4</v>
      </c>
      <c r="M8" t="e">
        <v>#REF!</v>
      </c>
      <c r="Q8">
        <v>1.686217008797654</v>
      </c>
    </row>
    <row r="9" spans="1:20" x14ac:dyDescent="0.35">
      <c r="A9">
        <v>3.6499999999999998E-2</v>
      </c>
      <c r="B9">
        <v>23.14</v>
      </c>
      <c r="C9">
        <v>315</v>
      </c>
      <c r="D9">
        <v>45</v>
      </c>
      <c r="H9">
        <v>1.5773552290406221E-3</v>
      </c>
      <c r="I9">
        <v>1.1587301587301587E-4</v>
      </c>
      <c r="M9" t="e">
        <v>#REF!</v>
      </c>
      <c r="Q9">
        <v>1.5773552290406221</v>
      </c>
    </row>
    <row r="10" spans="1:20" x14ac:dyDescent="0.35">
      <c r="A10">
        <v>4.895E-2</v>
      </c>
      <c r="B10">
        <v>25.21</v>
      </c>
      <c r="C10">
        <v>316</v>
      </c>
      <c r="D10">
        <v>32</v>
      </c>
      <c r="H10">
        <v>1.9416898056326855E-3</v>
      </c>
      <c r="I10">
        <v>1.5490506329113925E-4</v>
      </c>
      <c r="M10" t="e">
        <v>#REF!</v>
      </c>
      <c r="Q10">
        <v>1.9416898056326855</v>
      </c>
    </row>
    <row r="11" spans="1:20" x14ac:dyDescent="0.35">
      <c r="A11">
        <v>0.05</v>
      </c>
      <c r="B11">
        <v>32.664999999999999</v>
      </c>
      <c r="C11">
        <v>510</v>
      </c>
      <c r="D11">
        <v>15</v>
      </c>
      <c r="H11">
        <v>1.5306903413439463E-3</v>
      </c>
      <c r="I11">
        <v>9.8039215686274519E-5</v>
      </c>
      <c r="M11" t="e">
        <v>#REF!</v>
      </c>
      <c r="Q11">
        <v>1.5306903413439463</v>
      </c>
    </row>
    <row r="12" spans="1:20" x14ac:dyDescent="0.35">
      <c r="A12">
        <v>7.85E-2</v>
      </c>
      <c r="B12">
        <v>44.021000000000001</v>
      </c>
      <c r="C12">
        <v>600</v>
      </c>
      <c r="D12">
        <v>5</v>
      </c>
      <c r="H12">
        <v>1.7832398173598964E-3</v>
      </c>
      <c r="I12">
        <v>1.3083333333333333E-4</v>
      </c>
      <c r="M12" t="e">
        <v>#REF!</v>
      </c>
      <c r="Q12">
        <v>1.7832398173598965</v>
      </c>
    </row>
    <row r="13" spans="1:20" x14ac:dyDescent="0.35">
      <c r="A13">
        <v>8.9499999999999996E-2</v>
      </c>
      <c r="B13">
        <v>45</v>
      </c>
      <c r="C13">
        <v>840</v>
      </c>
      <c r="D13">
        <v>20</v>
      </c>
      <c r="H13">
        <v>1.988888888888889E-3</v>
      </c>
      <c r="I13">
        <v>1.0654761904761904E-4</v>
      </c>
      <c r="M13" t="e">
        <v>#REF!</v>
      </c>
      <c r="Q13">
        <v>1.9888888888888889</v>
      </c>
    </row>
    <row r="14" spans="1:20" x14ac:dyDescent="0.35">
      <c r="A14">
        <v>0.1105</v>
      </c>
      <c r="B14">
        <v>45.21</v>
      </c>
      <c r="C14">
        <v>1000</v>
      </c>
      <c r="D14">
        <v>0.32</v>
      </c>
      <c r="H14">
        <v>2.4441495244414951E-3</v>
      </c>
      <c r="I14">
        <v>1.105E-4</v>
      </c>
      <c r="M14" t="e">
        <v>#REF!</v>
      </c>
      <c r="Q14">
        <v>2.444149524441495</v>
      </c>
    </row>
    <row r="15" spans="1:20" x14ac:dyDescent="0.35">
      <c r="A15">
        <v>0.48499999999999999</v>
      </c>
      <c r="B15">
        <v>64</v>
      </c>
      <c r="C15">
        <v>1050</v>
      </c>
      <c r="D15">
        <v>0.69</v>
      </c>
      <c r="H15">
        <v>7.5781249999999998E-3</v>
      </c>
      <c r="I15">
        <v>4.619047619047619E-4</v>
      </c>
      <c r="M15" t="e">
        <v>#REF!</v>
      </c>
      <c r="Q15">
        <v>7.578125</v>
      </c>
    </row>
    <row r="16" spans="1:20" x14ac:dyDescent="0.35">
      <c r="A16">
        <v>0.55000000000000004</v>
      </c>
      <c r="B16">
        <v>66</v>
      </c>
      <c r="C16">
        <v>1100</v>
      </c>
      <c r="D16">
        <v>3.3</v>
      </c>
      <c r="H16">
        <v>8.3333333333333332E-3</v>
      </c>
      <c r="I16">
        <v>5.0000000000000001E-4</v>
      </c>
      <c r="M16" t="e">
        <v>#REF!</v>
      </c>
      <c r="Q16">
        <v>8.3333333333333339</v>
      </c>
    </row>
    <row r="17" spans="1:17" x14ac:dyDescent="0.35">
      <c r="A17">
        <v>0.65</v>
      </c>
      <c r="B17">
        <v>95</v>
      </c>
      <c r="C17">
        <v>2100</v>
      </c>
      <c r="D17">
        <v>20</v>
      </c>
      <c r="H17">
        <v>6.842105263157895E-3</v>
      </c>
      <c r="I17">
        <v>3.0952380952380956E-4</v>
      </c>
      <c r="M17" t="e">
        <v>#REF!</v>
      </c>
      <c r="Q17">
        <v>6.8421052631578947</v>
      </c>
    </row>
    <row r="18" spans="1:17" x14ac:dyDescent="0.35">
      <c r="A18">
        <v>5</v>
      </c>
      <c r="B18">
        <v>100</v>
      </c>
      <c r="C18">
        <v>3100</v>
      </c>
      <c r="D18">
        <v>15</v>
      </c>
      <c r="H18">
        <v>0.05</v>
      </c>
      <c r="I18">
        <v>1.6129032258064516E-3</v>
      </c>
      <c r="M18" t="e">
        <v>#REF!</v>
      </c>
      <c r="Q18">
        <v>50</v>
      </c>
    </row>
    <row r="19" spans="1:17" x14ac:dyDescent="0.35">
      <c r="A19">
        <v>10</v>
      </c>
      <c r="B19">
        <v>200</v>
      </c>
      <c r="C19">
        <v>3214</v>
      </c>
      <c r="D19">
        <v>5</v>
      </c>
      <c r="H19">
        <v>0.05</v>
      </c>
      <c r="I19">
        <v>3.1113876789047915E-3</v>
      </c>
      <c r="M19" t="e">
        <v>#REF!</v>
      </c>
      <c r="Q19">
        <v>50</v>
      </c>
    </row>
    <row r="20" spans="1:17" x14ac:dyDescent="0.35">
      <c r="A20">
        <v>15</v>
      </c>
      <c r="B20">
        <v>1487.3</v>
      </c>
      <c r="C20">
        <v>3500</v>
      </c>
      <c r="D20">
        <v>0.9</v>
      </c>
      <c r="H20">
        <v>1.0085389632219459E-2</v>
      </c>
      <c r="I20">
        <v>4.2857142857142859E-3</v>
      </c>
      <c r="M20" t="e">
        <v>#REF!</v>
      </c>
      <c r="Q20">
        <v>10.08538963221946</v>
      </c>
    </row>
    <row r="21" spans="1:17" x14ac:dyDescent="0.35">
      <c r="I21" t="e">
        <v>#DIV/0!</v>
      </c>
      <c r="M21" t="e">
        <v>#REF!</v>
      </c>
    </row>
    <row r="23" spans="1:17" x14ac:dyDescent="0.35">
      <c r="A23" t="s">
        <v>53</v>
      </c>
      <c r="C23" t="s">
        <v>16</v>
      </c>
      <c r="D23" t="s">
        <v>17</v>
      </c>
      <c r="G23" t="s">
        <v>54</v>
      </c>
      <c r="H23" t="s">
        <v>55</v>
      </c>
    </row>
    <row r="24" spans="1:17" x14ac:dyDescent="0.35">
      <c r="A24" t="str">
        <f>COMPLEX(5,5)</f>
        <v>5+5i</v>
      </c>
      <c r="C24">
        <f t="shared" ref="C24:C34" si="0">IMREAL(A24)</f>
        <v>5</v>
      </c>
      <c r="D24">
        <f t="shared" ref="D24:D34" si="1">IMAGINARY(A24)</f>
        <v>5</v>
      </c>
      <c r="G24">
        <f t="shared" ref="G24:G34" si="2">C24^2</f>
        <v>25</v>
      </c>
      <c r="H24">
        <f t="shared" ref="H24:H34" si="3">D24^2</f>
        <v>25</v>
      </c>
      <c r="I24">
        <f t="shared" ref="I24:I34" si="4">SQRT(G24+H24)</f>
        <v>7.0710678118654755</v>
      </c>
      <c r="K24" s="5"/>
    </row>
    <row r="25" spans="1:17" x14ac:dyDescent="0.35">
      <c r="A25" t="str">
        <f>COMPLEX(4,-5)</f>
        <v>4-5i</v>
      </c>
      <c r="C25">
        <f t="shared" si="0"/>
        <v>4</v>
      </c>
      <c r="D25">
        <f t="shared" si="1"/>
        <v>-5</v>
      </c>
      <c r="G25">
        <f t="shared" si="2"/>
        <v>16</v>
      </c>
      <c r="H25">
        <f t="shared" si="3"/>
        <v>25</v>
      </c>
      <c r="I25">
        <f t="shared" si="4"/>
        <v>6.4031242374328485</v>
      </c>
    </row>
    <row r="26" spans="1:17" x14ac:dyDescent="0.35">
      <c r="A26" t="str">
        <f>COMPLEX(15,-6)</f>
        <v>15-6i</v>
      </c>
      <c r="C26">
        <f t="shared" si="0"/>
        <v>15</v>
      </c>
      <c r="D26">
        <f t="shared" si="1"/>
        <v>-6</v>
      </c>
      <c r="G26">
        <f t="shared" si="2"/>
        <v>225</v>
      </c>
      <c r="H26">
        <f t="shared" si="3"/>
        <v>36</v>
      </c>
      <c r="I26">
        <f t="shared" si="4"/>
        <v>16.15549442140351</v>
      </c>
    </row>
    <row r="27" spans="1:17" x14ac:dyDescent="0.35">
      <c r="A27" t="str">
        <f>COMPLEX(-8,-9)</f>
        <v>-8-9i</v>
      </c>
      <c r="C27">
        <f t="shared" si="0"/>
        <v>-8</v>
      </c>
      <c r="D27">
        <f t="shared" si="1"/>
        <v>-9</v>
      </c>
      <c r="G27">
        <f t="shared" si="2"/>
        <v>64</v>
      </c>
      <c r="H27">
        <f t="shared" si="3"/>
        <v>81</v>
      </c>
      <c r="I27">
        <f t="shared" si="4"/>
        <v>12.041594578792296</v>
      </c>
    </row>
    <row r="28" spans="1:17" x14ac:dyDescent="0.35">
      <c r="A28" t="str">
        <f>COMPLEX(-6,7)</f>
        <v>-6+7i</v>
      </c>
      <c r="C28">
        <f t="shared" si="0"/>
        <v>-6</v>
      </c>
      <c r="D28">
        <f t="shared" si="1"/>
        <v>7</v>
      </c>
      <c r="G28">
        <f t="shared" si="2"/>
        <v>36</v>
      </c>
      <c r="H28">
        <f t="shared" si="3"/>
        <v>49</v>
      </c>
      <c r="I28">
        <f t="shared" si="4"/>
        <v>9.2195444572928871</v>
      </c>
    </row>
    <row r="29" spans="1:17" x14ac:dyDescent="0.35">
      <c r="A29" t="str">
        <f>COMPLEX(3,-9)</f>
        <v>3-9i</v>
      </c>
      <c r="C29">
        <f t="shared" si="0"/>
        <v>3</v>
      </c>
      <c r="D29">
        <f t="shared" si="1"/>
        <v>-9</v>
      </c>
      <c r="G29">
        <f t="shared" si="2"/>
        <v>9</v>
      </c>
      <c r="H29">
        <f t="shared" si="3"/>
        <v>81</v>
      </c>
      <c r="I29">
        <f t="shared" si="4"/>
        <v>9.4868329805051381</v>
      </c>
    </row>
    <row r="30" spans="1:17" x14ac:dyDescent="0.35">
      <c r="A30" t="str">
        <f>COMPLEX(12.2,-4.5)</f>
        <v>12.2-4.5i</v>
      </c>
      <c r="C30">
        <f t="shared" si="0"/>
        <v>12.2</v>
      </c>
      <c r="D30">
        <f t="shared" si="1"/>
        <v>-4.5</v>
      </c>
      <c r="G30">
        <f t="shared" si="2"/>
        <v>148.83999999999997</v>
      </c>
      <c r="H30">
        <f t="shared" si="3"/>
        <v>20.25</v>
      </c>
      <c r="I30">
        <f t="shared" si="4"/>
        <v>13.003461077728497</v>
      </c>
    </row>
    <row r="31" spans="1:17" x14ac:dyDescent="0.35">
      <c r="A31" t="str">
        <f>COMPLEX(-45,35)</f>
        <v>-45+35i</v>
      </c>
      <c r="C31">
        <f t="shared" si="0"/>
        <v>-45</v>
      </c>
      <c r="D31">
        <f t="shared" si="1"/>
        <v>35</v>
      </c>
      <c r="G31">
        <f t="shared" si="2"/>
        <v>2025</v>
      </c>
      <c r="H31">
        <f t="shared" si="3"/>
        <v>1225</v>
      </c>
      <c r="I31">
        <f t="shared" si="4"/>
        <v>57.008771254956898</v>
      </c>
    </row>
    <row r="32" spans="1:17" x14ac:dyDescent="0.35">
      <c r="A32" t="str">
        <f>COMPLEX(6,-15)</f>
        <v>6-15i</v>
      </c>
      <c r="C32">
        <f t="shared" si="0"/>
        <v>6</v>
      </c>
      <c r="D32">
        <f t="shared" si="1"/>
        <v>-15</v>
      </c>
      <c r="G32">
        <f t="shared" si="2"/>
        <v>36</v>
      </c>
      <c r="H32">
        <f t="shared" si="3"/>
        <v>225</v>
      </c>
      <c r="I32">
        <f t="shared" si="4"/>
        <v>16.15549442140351</v>
      </c>
    </row>
    <row r="33" spans="1:9" x14ac:dyDescent="0.35">
      <c r="A33" t="str">
        <f>COMPLEX(3,-3)</f>
        <v>3-3i</v>
      </c>
      <c r="C33">
        <f t="shared" si="0"/>
        <v>3</v>
      </c>
      <c r="D33">
        <f t="shared" si="1"/>
        <v>-3</v>
      </c>
      <c r="G33">
        <f t="shared" si="2"/>
        <v>9</v>
      </c>
      <c r="H33">
        <f t="shared" si="3"/>
        <v>9</v>
      </c>
      <c r="I33">
        <f t="shared" si="4"/>
        <v>4.2426406871192848</v>
      </c>
    </row>
    <row r="34" spans="1:9" x14ac:dyDescent="0.35">
      <c r="A34" t="str">
        <f>COMPLEX(2.3,-1.2)</f>
        <v>2.3-1.2i</v>
      </c>
      <c r="C34">
        <f t="shared" si="0"/>
        <v>2.2999999999999998</v>
      </c>
      <c r="D34">
        <f t="shared" si="1"/>
        <v>-1.2</v>
      </c>
      <c r="G34">
        <f t="shared" si="2"/>
        <v>5.2899999999999991</v>
      </c>
      <c r="H34">
        <f t="shared" si="3"/>
        <v>1.44</v>
      </c>
      <c r="I34">
        <f t="shared" si="4"/>
        <v>2.5942243542145693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ulate_Voltage">
                <anchor moveWithCells="1" sizeWithCells="1">
                  <from>
                    <xdr:col>4</xdr:col>
                    <xdr:colOff>368300</xdr:colOff>
                    <xdr:row>1</xdr:row>
                    <xdr:rowOff>133350</xdr:rowOff>
                  </from>
                  <to>
                    <xdr:col>6</xdr:col>
                    <xdr:colOff>63500</xdr:colOff>
                    <xdr:row>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alculate_Resistance">
                <anchor moveWithCells="1" sizeWithCells="1">
                  <from>
                    <xdr:col>4</xdr:col>
                    <xdr:colOff>412750</xdr:colOff>
                    <xdr:row>5</xdr:row>
                    <xdr:rowOff>101600</xdr:rowOff>
                  </from>
                  <to>
                    <xdr:col>6</xdr:col>
                    <xdr:colOff>88900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84ED4-6625-4466-AA2B-E6D11B7631DE}">
  <sheetPr codeName="Sheet5"/>
  <dimension ref="A1:I20"/>
  <sheetViews>
    <sheetView workbookViewId="0">
      <selection activeCell="C23" sqref="C23"/>
    </sheetView>
  </sheetViews>
  <sheetFormatPr defaultRowHeight="14.5" x14ac:dyDescent="0.35"/>
  <cols>
    <col min="1" max="1" width="15.81640625" customWidth="1"/>
    <col min="2" max="2" width="21.26953125" customWidth="1"/>
    <col min="3" max="3" width="20.36328125" customWidth="1"/>
    <col min="4" max="4" width="15.36328125" customWidth="1"/>
    <col min="7" max="7" width="12.26953125" customWidth="1"/>
  </cols>
  <sheetData>
    <row r="1" spans="1:9" ht="29" x14ac:dyDescent="0.35">
      <c r="A1" t="s">
        <v>1</v>
      </c>
      <c r="B1" s="1" t="s">
        <v>0</v>
      </c>
      <c r="C1" s="1" t="s">
        <v>48</v>
      </c>
      <c r="D1" t="s">
        <v>12</v>
      </c>
      <c r="G1" t="s">
        <v>56</v>
      </c>
      <c r="H1" t="s">
        <v>57</v>
      </c>
    </row>
    <row r="2" spans="1:9" x14ac:dyDescent="0.35">
      <c r="A2">
        <v>5.0000000000000001E-4</v>
      </c>
      <c r="B2">
        <v>1.21</v>
      </c>
      <c r="C2">
        <v>40</v>
      </c>
      <c r="D2">
        <v>0.5</v>
      </c>
      <c r="G2" cm="1">
        <f t="array" ref="G2:G20">B2:B20*C2:C20</f>
        <v>48.4</v>
      </c>
      <c r="H2" cm="1">
        <f t="array" ref="H2:H20">A2:A20/B2:B20</f>
        <v>4.1322314049586781E-4</v>
      </c>
      <c r="I2" cm="1">
        <f t="array" ref="I2:I20">A2:A20/C2:C20</f>
        <v>1.2500000000000001E-5</v>
      </c>
    </row>
    <row r="3" spans="1:9" x14ac:dyDescent="0.35">
      <c r="A3">
        <v>9.6500000000000004E-4</v>
      </c>
      <c r="B3">
        <v>2.1</v>
      </c>
      <c r="C3">
        <v>80</v>
      </c>
      <c r="D3">
        <v>5</v>
      </c>
      <c r="G3">
        <v>168</v>
      </c>
      <c r="H3">
        <v>4.5952380952380952E-4</v>
      </c>
      <c r="I3">
        <v>1.20625E-5</v>
      </c>
    </row>
    <row r="4" spans="1:9" x14ac:dyDescent="0.35">
      <c r="A4">
        <v>9.8499999999999998E-4</v>
      </c>
      <c r="B4">
        <v>3.15</v>
      </c>
      <c r="C4">
        <v>100</v>
      </c>
      <c r="D4">
        <v>10</v>
      </c>
      <c r="G4">
        <v>315</v>
      </c>
      <c r="H4">
        <v>3.126984126984127E-4</v>
      </c>
      <c r="I4">
        <v>9.8500000000000006E-6</v>
      </c>
    </row>
    <row r="5" spans="1:9" x14ac:dyDescent="0.35">
      <c r="A5">
        <v>4.4999999999999997E-3</v>
      </c>
      <c r="B5">
        <v>8.4499999999999993</v>
      </c>
      <c r="C5">
        <v>150</v>
      </c>
      <c r="D5">
        <v>3</v>
      </c>
      <c r="G5">
        <v>1267.5</v>
      </c>
      <c r="H5">
        <v>5.3254437869822483E-4</v>
      </c>
      <c r="I5">
        <v>2.9999999999999997E-5</v>
      </c>
    </row>
    <row r="6" spans="1:9" x14ac:dyDescent="0.35">
      <c r="A6">
        <v>0.01</v>
      </c>
      <c r="B6">
        <v>9.06</v>
      </c>
      <c r="C6">
        <v>200</v>
      </c>
      <c r="D6">
        <v>1</v>
      </c>
      <c r="G6">
        <v>1812</v>
      </c>
      <c r="H6">
        <v>1.1037527593818985E-3</v>
      </c>
      <c r="I6">
        <v>5.0000000000000002E-5</v>
      </c>
    </row>
    <row r="7" spans="1:9" x14ac:dyDescent="0.35">
      <c r="A7">
        <v>2.0500000000000001E-2</v>
      </c>
      <c r="B7">
        <v>15.84</v>
      </c>
      <c r="C7">
        <v>215</v>
      </c>
      <c r="D7">
        <v>1.2</v>
      </c>
      <c r="G7">
        <v>3405.6</v>
      </c>
      <c r="H7">
        <v>1.2941919191919193E-3</v>
      </c>
      <c r="I7">
        <v>9.5348837209302328E-5</v>
      </c>
    </row>
    <row r="8" spans="1:9" x14ac:dyDescent="0.35">
      <c r="A8">
        <v>3.4500000000000003E-2</v>
      </c>
      <c r="B8">
        <v>20.46</v>
      </c>
      <c r="C8">
        <v>216</v>
      </c>
      <c r="D8">
        <v>0.2</v>
      </c>
      <c r="G8">
        <v>4419.3600000000006</v>
      </c>
      <c r="H8">
        <v>1.6862170087976541E-3</v>
      </c>
      <c r="I8">
        <v>1.5972222222222223E-4</v>
      </c>
    </row>
    <row r="9" spans="1:9" x14ac:dyDescent="0.35">
      <c r="A9">
        <v>3.6499999999999998E-2</v>
      </c>
      <c r="B9">
        <v>23.14</v>
      </c>
      <c r="C9">
        <v>315</v>
      </c>
      <c r="D9">
        <v>45</v>
      </c>
      <c r="G9">
        <v>7289.1</v>
      </c>
      <c r="H9">
        <v>1.5773552290406221E-3</v>
      </c>
      <c r="I9">
        <v>1.1587301587301587E-4</v>
      </c>
    </row>
    <row r="10" spans="1:9" x14ac:dyDescent="0.35">
      <c r="A10">
        <v>4.895E-2</v>
      </c>
      <c r="B10">
        <v>25.21</v>
      </c>
      <c r="C10">
        <v>316</v>
      </c>
      <c r="D10">
        <v>32</v>
      </c>
      <c r="G10">
        <v>7966.3600000000006</v>
      </c>
      <c r="H10">
        <v>1.9416898056326855E-3</v>
      </c>
      <c r="I10">
        <v>1.5490506329113925E-4</v>
      </c>
    </row>
    <row r="11" spans="1:9" x14ac:dyDescent="0.35">
      <c r="A11">
        <v>0.05</v>
      </c>
      <c r="B11">
        <v>32.664999999999999</v>
      </c>
      <c r="C11">
        <v>510</v>
      </c>
      <c r="D11">
        <v>15</v>
      </c>
      <c r="G11">
        <v>16659.149999999998</v>
      </c>
      <c r="H11">
        <v>1.5306903413439463E-3</v>
      </c>
      <c r="I11">
        <v>9.8039215686274519E-5</v>
      </c>
    </row>
    <row r="12" spans="1:9" x14ac:dyDescent="0.35">
      <c r="A12">
        <v>7.85E-2</v>
      </c>
      <c r="B12">
        <v>44.021000000000001</v>
      </c>
      <c r="C12">
        <v>600</v>
      </c>
      <c r="D12">
        <v>5</v>
      </c>
      <c r="G12">
        <v>26412.600000000002</v>
      </c>
      <c r="H12">
        <v>1.7832398173598964E-3</v>
      </c>
      <c r="I12">
        <v>1.3083333333333333E-4</v>
      </c>
    </row>
    <row r="13" spans="1:9" x14ac:dyDescent="0.35">
      <c r="A13">
        <v>8.9499999999999996E-2</v>
      </c>
      <c r="B13">
        <v>45</v>
      </c>
      <c r="C13">
        <v>840</v>
      </c>
      <c r="D13">
        <v>20</v>
      </c>
      <c r="G13">
        <v>37800</v>
      </c>
      <c r="H13">
        <v>1.988888888888889E-3</v>
      </c>
      <c r="I13">
        <v>1.0654761904761904E-4</v>
      </c>
    </row>
    <row r="14" spans="1:9" x14ac:dyDescent="0.35">
      <c r="A14">
        <v>0.1105</v>
      </c>
      <c r="B14">
        <v>45.21</v>
      </c>
      <c r="C14">
        <v>1000</v>
      </c>
      <c r="D14">
        <v>0.32</v>
      </c>
      <c r="G14">
        <v>45210</v>
      </c>
      <c r="H14">
        <v>2.4441495244414951E-3</v>
      </c>
      <c r="I14">
        <v>1.105E-4</v>
      </c>
    </row>
    <row r="15" spans="1:9" x14ac:dyDescent="0.35">
      <c r="A15">
        <v>0.48499999999999999</v>
      </c>
      <c r="B15">
        <v>64</v>
      </c>
      <c r="C15">
        <v>1050</v>
      </c>
      <c r="D15">
        <v>0.69</v>
      </c>
      <c r="G15">
        <v>67200</v>
      </c>
      <c r="H15">
        <v>7.5781249999999998E-3</v>
      </c>
      <c r="I15">
        <v>4.619047619047619E-4</v>
      </c>
    </row>
    <row r="16" spans="1:9" x14ac:dyDescent="0.35">
      <c r="A16">
        <v>0.55000000000000004</v>
      </c>
      <c r="B16">
        <v>66</v>
      </c>
      <c r="C16">
        <v>1100</v>
      </c>
      <c r="D16">
        <v>3.3</v>
      </c>
      <c r="G16">
        <v>72600</v>
      </c>
      <c r="H16">
        <v>8.3333333333333332E-3</v>
      </c>
      <c r="I16">
        <v>5.0000000000000001E-4</v>
      </c>
    </row>
    <row r="17" spans="1:9" x14ac:dyDescent="0.35">
      <c r="A17">
        <v>0.65</v>
      </c>
      <c r="B17">
        <v>95</v>
      </c>
      <c r="C17">
        <v>2100</v>
      </c>
      <c r="D17">
        <v>20</v>
      </c>
      <c r="G17">
        <v>199500</v>
      </c>
      <c r="H17">
        <v>6.842105263157895E-3</v>
      </c>
      <c r="I17">
        <v>3.0952380952380956E-4</v>
      </c>
    </row>
    <row r="18" spans="1:9" x14ac:dyDescent="0.35">
      <c r="A18">
        <v>5</v>
      </c>
      <c r="B18">
        <v>100</v>
      </c>
      <c r="C18">
        <v>3100</v>
      </c>
      <c r="D18">
        <v>15</v>
      </c>
      <c r="G18">
        <v>310000</v>
      </c>
      <c r="H18">
        <v>0.05</v>
      </c>
      <c r="I18">
        <v>1.6129032258064516E-3</v>
      </c>
    </row>
    <row r="19" spans="1:9" x14ac:dyDescent="0.35">
      <c r="A19">
        <v>10</v>
      </c>
      <c r="B19">
        <v>200</v>
      </c>
      <c r="C19">
        <v>3214</v>
      </c>
      <c r="D19">
        <v>5</v>
      </c>
      <c r="G19">
        <v>642800</v>
      </c>
      <c r="H19">
        <v>0.05</v>
      </c>
      <c r="I19">
        <v>3.1113876789047915E-3</v>
      </c>
    </row>
    <row r="20" spans="1:9" x14ac:dyDescent="0.35">
      <c r="A20">
        <v>15</v>
      </c>
      <c r="B20">
        <v>1487.3</v>
      </c>
      <c r="C20">
        <v>3500</v>
      </c>
      <c r="D20">
        <v>0.9</v>
      </c>
      <c r="G20">
        <v>5205550</v>
      </c>
      <c r="H20">
        <v>1.0085389632219459E-2</v>
      </c>
      <c r="I20">
        <v>4.2857142857142859E-3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alculate_Voltage">
                <anchor moveWithCells="1" sizeWithCells="1">
                  <from>
                    <xdr:col>0</xdr:col>
                    <xdr:colOff>330200</xdr:colOff>
                    <xdr:row>21</xdr:row>
                    <xdr:rowOff>95250</xdr:rowOff>
                  </from>
                  <to>
                    <xdr:col>1</xdr:col>
                    <xdr:colOff>317500</xdr:colOff>
                    <xdr:row>24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alculate_Resistance">
                <anchor moveWithCells="1" sizeWithCells="1">
                  <from>
                    <xdr:col>1</xdr:col>
                    <xdr:colOff>685800</xdr:colOff>
                    <xdr:row>21</xdr:row>
                    <xdr:rowOff>88900</xdr:rowOff>
                  </from>
                  <to>
                    <xdr:col>2</xdr:col>
                    <xdr:colOff>292100</xdr:colOff>
                    <xdr:row>24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Calculate_Current">
                <anchor moveWithCells="1" sizeWithCells="1">
                  <from>
                    <xdr:col>0</xdr:col>
                    <xdr:colOff>355600</xdr:colOff>
                    <xdr:row>25</xdr:row>
                    <xdr:rowOff>76200</xdr:rowOff>
                  </from>
                  <to>
                    <xdr:col>1</xdr:col>
                    <xdr:colOff>317500</xdr:colOff>
                    <xdr:row>28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C512E-0619-4E7F-B51E-CC6B66A0680B}">
  <sheetPr codeName="Sheet2"/>
  <dimension ref="A1:I22"/>
  <sheetViews>
    <sheetView workbookViewId="0">
      <selection activeCell="I6" sqref="I6"/>
    </sheetView>
  </sheetViews>
  <sheetFormatPr defaultRowHeight="14.5" x14ac:dyDescent="0.35"/>
  <cols>
    <col min="1" max="1" width="17.453125" style="6" customWidth="1"/>
    <col min="2" max="5" width="8.7265625" style="6"/>
    <col min="6" max="6" width="8.26953125" style="6" customWidth="1"/>
    <col min="7" max="7" width="8.7265625" style="6"/>
    <col min="8" max="8" width="17.36328125" style="6" customWidth="1"/>
    <col min="9" max="16384" width="8.7265625" style="6"/>
  </cols>
  <sheetData>
    <row r="1" spans="1:9" x14ac:dyDescent="0.35">
      <c r="A1" s="6" t="s">
        <v>58</v>
      </c>
      <c r="H1" s="6" t="s">
        <v>62</v>
      </c>
    </row>
    <row r="2" spans="1:9" ht="15.5" x14ac:dyDescent="0.35">
      <c r="A2" s="6" t="s">
        <v>61</v>
      </c>
      <c r="C2">
        <v>15</v>
      </c>
      <c r="H2" s="6" t="s">
        <v>63</v>
      </c>
    </row>
    <row r="3" spans="1:9" x14ac:dyDescent="0.35">
      <c r="A3" s="6" t="s">
        <v>50</v>
      </c>
      <c r="C3" s="6" t="s">
        <v>49</v>
      </c>
    </row>
    <row r="4" spans="1:9" x14ac:dyDescent="0.35">
      <c r="H4" s="6" t="s">
        <v>64</v>
      </c>
      <c r="I4">
        <v>50</v>
      </c>
    </row>
    <row r="5" spans="1:9" x14ac:dyDescent="0.35">
      <c r="A5" s="6" t="s">
        <v>59</v>
      </c>
      <c r="H5" s="6" t="s">
        <v>65</v>
      </c>
      <c r="I5">
        <v>1000</v>
      </c>
    </row>
    <row r="6" spans="1:9" x14ac:dyDescent="0.35">
      <c r="A6" s="6" t="s">
        <v>52</v>
      </c>
      <c r="C6">
        <v>100.77315061104804</v>
      </c>
      <c r="H6" s="6" t="s">
        <v>66</v>
      </c>
      <c r="I6">
        <v>12</v>
      </c>
    </row>
    <row r="7" spans="1:9" x14ac:dyDescent="0.35">
      <c r="A7" s="6" t="s">
        <v>51</v>
      </c>
      <c r="B7" s="6" t="s">
        <v>60</v>
      </c>
    </row>
    <row r="8" spans="1:9" x14ac:dyDescent="0.35">
      <c r="A8" s="6">
        <v>1</v>
      </c>
      <c r="B8" s="7">
        <v>-5.333333333333333</v>
      </c>
      <c r="H8" s="6" t="s">
        <v>67</v>
      </c>
      <c r="I8" s="6">
        <v>-0.01</v>
      </c>
    </row>
    <row r="9" spans="1:9" x14ac:dyDescent="0.35">
      <c r="A9" s="6">
        <v>2</v>
      </c>
      <c r="B9" s="6">
        <v>5.2222222222222223</v>
      </c>
      <c r="H9" s="6" t="s">
        <v>68</v>
      </c>
      <c r="I9" s="6">
        <v>-19.989999771118164</v>
      </c>
    </row>
    <row r="10" spans="1:9" x14ac:dyDescent="0.35">
      <c r="A10" s="6">
        <v>3</v>
      </c>
      <c r="B10" s="6">
        <v>4.4761904761904763</v>
      </c>
    </row>
    <row r="11" spans="1:9" x14ac:dyDescent="0.35">
      <c r="A11" s="6">
        <v>4</v>
      </c>
      <c r="B11" s="6">
        <v>4.7575757575757578</v>
      </c>
    </row>
    <row r="12" spans="1:9" x14ac:dyDescent="0.35">
      <c r="A12" s="6">
        <v>5</v>
      </c>
      <c r="B12" s="6">
        <v>5.2444444444444445</v>
      </c>
    </row>
    <row r="13" spans="1:9" x14ac:dyDescent="0.35">
      <c r="A13" s="6">
        <v>6</v>
      </c>
      <c r="B13" s="6">
        <v>5.807017543859649</v>
      </c>
    </row>
    <row r="14" spans="1:9" x14ac:dyDescent="0.35">
      <c r="A14" s="6">
        <v>7</v>
      </c>
      <c r="B14" s="6">
        <v>6.4057971014492754</v>
      </c>
    </row>
    <row r="15" spans="1:9" x14ac:dyDescent="0.35">
      <c r="A15" s="6">
        <v>8</v>
      </c>
      <c r="B15" s="6">
        <v>7.0246913580246915</v>
      </c>
    </row>
    <row r="16" spans="1:9" x14ac:dyDescent="0.35">
      <c r="A16" s="6">
        <v>9</v>
      </c>
      <c r="B16" s="6">
        <v>7.655913978494624</v>
      </c>
    </row>
    <row r="17" spans="1:2" x14ac:dyDescent="0.35">
      <c r="A17" s="6">
        <v>10</v>
      </c>
      <c r="B17" s="6">
        <v>8.295238095238096</v>
      </c>
    </row>
    <row r="18" spans="1:2" x14ac:dyDescent="0.35">
      <c r="A18" s="6">
        <v>11</v>
      </c>
      <c r="B18" s="6">
        <v>8.9401709401709404</v>
      </c>
    </row>
    <row r="19" spans="1:2" x14ac:dyDescent="0.35">
      <c r="A19" s="6">
        <v>12</v>
      </c>
      <c r="B19" s="6">
        <v>9.5891472868217047</v>
      </c>
    </row>
    <row r="20" spans="1:2" x14ac:dyDescent="0.35">
      <c r="A20" s="6">
        <v>13</v>
      </c>
      <c r="B20" s="6">
        <v>10.24113475177305</v>
      </c>
    </row>
    <row r="21" spans="1:2" x14ac:dyDescent="0.35">
      <c r="A21" s="6">
        <v>14</v>
      </c>
      <c r="B21" s="6">
        <v>10.895424836601308</v>
      </c>
    </row>
    <row r="22" spans="1:2" x14ac:dyDescent="0.35">
      <c r="A22" s="6">
        <v>15</v>
      </c>
      <c r="B22" s="6">
        <v>11.551515151515151</v>
      </c>
    </row>
  </sheetData>
  <conditionalFormatting sqref="H14">
    <cfRule type="cellIs" dxfId="14" priority="15" operator="lessThan">
      <formula>0</formula>
    </cfRule>
  </conditionalFormatting>
  <conditionalFormatting sqref="B7:B27">
    <cfRule type="cellIs" dxfId="13" priority="14" operator="lessThan">
      <formula>0</formula>
    </cfRule>
  </conditionalFormatting>
  <conditionalFormatting sqref="B1">
    <cfRule type="cellIs" dxfId="12" priority="13" operator="lessThan">
      <formula>0</formula>
    </cfRule>
    <cfRule type="cellIs" dxfId="11" priority="12" operator="lessThan">
      <formula>0</formula>
    </cfRule>
    <cfRule type="cellIs" dxfId="10" priority="11" operator="lessThan">
      <formula>0</formula>
    </cfRule>
    <cfRule type="cellIs" dxfId="9" priority="10" operator="lessThan">
      <formula>0</formula>
    </cfRule>
    <cfRule type="cellIs" dxfId="8" priority="9" operator="lessThan">
      <formula>0</formula>
    </cfRule>
  </conditionalFormatting>
  <conditionalFormatting sqref="C3">
    <cfRule type="cellIs" dxfId="7" priority="8" operator="lessThan">
      <formula>0</formula>
    </cfRule>
  </conditionalFormatting>
  <conditionalFormatting sqref="C10">
    <cfRule type="cellIs" dxfId="6" priority="7" operator="lessThan">
      <formula>0</formula>
    </cfRule>
  </conditionalFormatting>
  <conditionalFormatting sqref="D7">
    <cfRule type="cellIs" dxfId="5" priority="6" operator="lessThan">
      <formula>0</formula>
    </cfRule>
  </conditionalFormatting>
  <conditionalFormatting sqref="A3:A4">
    <cfRule type="cellIs" dxfId="3" priority="4" operator="lessThan">
      <formula>0</formula>
    </cfRule>
  </conditionalFormatting>
  <conditionalFormatting sqref="D13">
    <cfRule type="cellIs" dxfId="1" priority="2" operator="lessThan">
      <formula>0</formula>
    </cfRule>
  </conditionalFormatting>
  <conditionalFormatting sqref="C2">
    <cfRule type="cellIs" dxfId="0" priority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Calculate">
                <anchor moveWithCells="1" sizeWithCells="1">
                  <from>
                    <xdr:col>3</xdr:col>
                    <xdr:colOff>19050</xdr:colOff>
                    <xdr:row>9</xdr:row>
                    <xdr:rowOff>6350</xdr:rowOff>
                  </from>
                  <to>
                    <xdr:col>4</xdr:col>
                    <xdr:colOff>368300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_xludf.Clear">
                <anchor moveWithCells="1" sizeWithCells="1">
                  <from>
                    <xdr:col>3</xdr:col>
                    <xdr:colOff>6350</xdr:colOff>
                    <xdr:row>13</xdr:row>
                    <xdr:rowOff>19050</xdr:rowOff>
                  </from>
                  <to>
                    <xdr:col>4</xdr:col>
                    <xdr:colOff>374650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Quadratic_Formula">
                <anchor moveWithCells="1" sizeWithCells="1">
                  <from>
                    <xdr:col>9</xdr:col>
                    <xdr:colOff>596900</xdr:colOff>
                    <xdr:row>2</xdr:row>
                    <xdr:rowOff>0</xdr:rowOff>
                  </from>
                  <to>
                    <xdr:col>11</xdr:col>
                    <xdr:colOff>393700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6" name="Button 5">
              <controlPr defaultSize="0" print="0" autoFill="0" autoPict="0" macro="[0]!Clear_Qaud">
                <anchor moveWithCells="1" sizeWithCells="1">
                  <from>
                    <xdr:col>10</xdr:col>
                    <xdr:colOff>6350</xdr:colOff>
                    <xdr:row>6</xdr:row>
                    <xdr:rowOff>38100</xdr:rowOff>
                  </from>
                  <to>
                    <xdr:col>11</xdr:col>
                    <xdr:colOff>355600</xdr:colOff>
                    <xdr:row>8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B5400-D627-4164-BD96-C35339477A5A}">
  <sheetPr codeName="Sheet4"/>
  <dimension ref="A1:E8"/>
  <sheetViews>
    <sheetView workbookViewId="0">
      <selection activeCell="F9" sqref="F9"/>
    </sheetView>
  </sheetViews>
  <sheetFormatPr defaultRowHeight="14.5" x14ac:dyDescent="0.35"/>
  <cols>
    <col min="1" max="1" width="17.54296875" customWidth="1"/>
  </cols>
  <sheetData>
    <row r="1" spans="1:5" x14ac:dyDescent="0.35">
      <c r="A1" t="s">
        <v>69</v>
      </c>
    </row>
    <row r="2" spans="1:5" x14ac:dyDescent="0.35">
      <c r="A2" t="s">
        <v>70</v>
      </c>
    </row>
    <row r="3" spans="1:5" x14ac:dyDescent="0.35">
      <c r="A3" t="s">
        <v>71</v>
      </c>
    </row>
    <row r="4" spans="1:5" x14ac:dyDescent="0.35">
      <c r="B4" t="s">
        <v>72</v>
      </c>
      <c r="C4">
        <v>1</v>
      </c>
      <c r="D4">
        <v>2</v>
      </c>
    </row>
    <row r="5" spans="1:5" x14ac:dyDescent="0.35">
      <c r="C5">
        <v>3</v>
      </c>
      <c r="D5">
        <v>4</v>
      </c>
    </row>
    <row r="7" spans="1:5" x14ac:dyDescent="0.35">
      <c r="B7" t="s">
        <v>55</v>
      </c>
      <c r="C7">
        <v>5</v>
      </c>
      <c r="D7">
        <v>6</v>
      </c>
      <c r="E7">
        <v>7</v>
      </c>
    </row>
    <row r="8" spans="1:5" x14ac:dyDescent="0.35">
      <c r="C8">
        <v>8</v>
      </c>
      <c r="D8">
        <v>9</v>
      </c>
      <c r="E8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Sheet1</vt:lpstr>
      <vt:lpstr>Sheet3</vt:lpstr>
      <vt:lpstr>Sheet5</vt:lpstr>
      <vt:lpstr>Sheet2</vt:lpstr>
      <vt:lpstr>Sheet4</vt:lpstr>
      <vt:lpstr>Imaginary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Jimmy Ngo</cp:lastModifiedBy>
  <cp:revision/>
  <dcterms:created xsi:type="dcterms:W3CDTF">2020-10-02T03:23:07Z</dcterms:created>
  <dcterms:modified xsi:type="dcterms:W3CDTF">2020-10-28T07:27:19Z</dcterms:modified>
  <cp:category/>
  <cp:contentStatus/>
</cp:coreProperties>
</file>